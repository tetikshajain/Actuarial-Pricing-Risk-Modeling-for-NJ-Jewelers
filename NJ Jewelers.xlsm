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Ex1.xml" ContentType="application/vnd.ms-office.chartex+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Ex2.xml" ContentType="application/vnd.ms-office.chartex+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tetikshajain/Desktop/"/>
    </mc:Choice>
  </mc:AlternateContent>
  <xr:revisionPtr revIDLastSave="0" documentId="13_ncr:1_{63CFBAA6-E45F-A44F-AE02-04CFD6C6D23A}" xr6:coauthVersionLast="47" xr6:coauthVersionMax="47" xr10:uidLastSave="{00000000-0000-0000-0000-000000000000}"/>
  <bookViews>
    <workbookView xWindow="0" yWindow="660" windowWidth="25600" windowHeight="14880" xr2:uid="{F6CD52F6-9B87-5E46-B26D-2BC4300FB3B4}"/>
  </bookViews>
  <sheets>
    <sheet name="InventoryPurchasing" sheetId="1" r:id="rId1"/>
    <sheet name="SalesRevenueAuto" sheetId="3" r:id="rId2"/>
    <sheet name="Summary Dashboard" sheetId="2" r:id="rId3"/>
    <sheet name="Pricing Model" sheetId="5" r:id="rId4"/>
    <sheet name="PastPrices" sheetId="10" r:id="rId5"/>
    <sheet name="PriceStimulation" sheetId="11" r:id="rId6"/>
    <sheet name="PricingStrategy" sheetId="13" r:id="rId7"/>
    <sheet name="Forecasting" sheetId="12" r:id="rId8"/>
  </sheets>
  <definedNames>
    <definedName name="_xlchart.v1.0" hidden="1">PriceStimulation!$G$14:$DB$14</definedName>
    <definedName name="_xlchart.v1.1" hidden="1">PricingStrategy!$B$4:$CW$4</definedName>
    <definedName name="_xlchart.v1.2" hidden="1">PricingStrategy!$B$8:$CW$8</definedName>
    <definedName name="_xlchart.v1.3" hidden="1">PricingStrategy!$B$4:$CW$4</definedName>
    <definedName name="_xlchart.v1.4" hidden="1">PricingStrategy!$B$8:$CW$8</definedName>
    <definedName name="_xlchart.v1.5" hidden="1">PricingStrategy!$B$4:$CW$4</definedName>
    <definedName name="_xleta.AVERAGE" hidden="1" xlm="1">#NAME?</definedName>
    <definedName name="_xleta.MAX" hidden="1" xlm="1">#NAME?</definedName>
    <definedName name="_xleta.PRICE" hidden="1" xlm="1">#NAME?</definedName>
    <definedName name="Slicer_Category">#N/A</definedName>
    <definedName name="Slicer_MetalType">#N/A</definedName>
    <definedName name="Slicer_StockStatus">#N/A</definedName>
  </definedNames>
  <calcPr calcId="191029"/>
  <pivotCaches>
    <pivotCache cacheId="31"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2" l="1"/>
  <c r="CZ3" i="12"/>
  <c r="CY3" i="12"/>
  <c r="CX3" i="12"/>
  <c r="DA3" i="12" s="1"/>
  <c r="DB3" i="12" s="1"/>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12" i="5"/>
  <c r="G13" i="5"/>
  <c r="G14" i="5"/>
  <c r="G15" i="5"/>
  <c r="G16" i="5"/>
  <c r="G17" i="5"/>
  <c r="G18" i="5"/>
  <c r="G19" i="5"/>
  <c r="G20" i="5"/>
  <c r="G21" i="5"/>
  <c r="G22" i="5"/>
  <c r="G23" i="5"/>
  <c r="G24" i="5"/>
  <c r="G25" i="5"/>
  <c r="G26" i="5"/>
  <c r="G27" i="5"/>
  <c r="G28" i="5"/>
  <c r="G29" i="5"/>
  <c r="G30" i="5"/>
  <c r="G31" i="5"/>
  <c r="G32" i="5"/>
  <c r="G33" i="5"/>
  <c r="G34" i="5"/>
  <c r="G35" i="5"/>
  <c r="C3" i="12"/>
  <c r="D3" i="12"/>
  <c r="E3" i="12"/>
  <c r="F3" i="12"/>
  <c r="G3" i="12"/>
  <c r="H3" i="12"/>
  <c r="I3" i="12"/>
  <c r="J3" i="12"/>
  <c r="K3" i="12"/>
  <c r="L3" i="12"/>
  <c r="M3" i="12"/>
  <c r="N3" i="12"/>
  <c r="O3" i="12"/>
  <c r="P3" i="12"/>
  <c r="Q3" i="12"/>
  <c r="R3" i="12"/>
  <c r="S3" i="12"/>
  <c r="T3" i="12"/>
  <c r="U3" i="12"/>
  <c r="V3" i="12"/>
  <c r="W3" i="12"/>
  <c r="X3" i="12"/>
  <c r="Y3" i="12"/>
  <c r="Z3" i="12"/>
  <c r="AA3" i="12"/>
  <c r="AB3" i="12"/>
  <c r="AC3" i="12"/>
  <c r="AD3" i="12"/>
  <c r="AE3" i="12"/>
  <c r="AF3" i="12"/>
  <c r="AG3" i="12"/>
  <c r="AH3" i="12"/>
  <c r="AI3" i="12"/>
  <c r="AJ3" i="12"/>
  <c r="AK3" i="12"/>
  <c r="AL3" i="12"/>
  <c r="AM3" i="12"/>
  <c r="AN3" i="12"/>
  <c r="AO3" i="12"/>
  <c r="AP3" i="12"/>
  <c r="AQ3" i="12"/>
  <c r="AR3" i="12"/>
  <c r="AS3" i="12"/>
  <c r="AT3" i="12"/>
  <c r="AU3" i="12"/>
  <c r="AV3" i="12"/>
  <c r="AW3" i="12"/>
  <c r="AX3" i="12"/>
  <c r="AY3" i="12"/>
  <c r="AZ3" i="12"/>
  <c r="BA3" i="12"/>
  <c r="BB3" i="12"/>
  <c r="BC3" i="12"/>
  <c r="BD3" i="12"/>
  <c r="BE3" i="12"/>
  <c r="BF3" i="12"/>
  <c r="BG3" i="12"/>
  <c r="BH3" i="12"/>
  <c r="BI3" i="12"/>
  <c r="BJ3" i="12"/>
  <c r="BK3" i="12"/>
  <c r="BL3" i="12"/>
  <c r="BM3" i="12"/>
  <c r="BN3" i="12"/>
  <c r="BO3" i="12"/>
  <c r="BP3" i="12"/>
  <c r="BQ3" i="12"/>
  <c r="BR3" i="12"/>
  <c r="BS3" i="12"/>
  <c r="BT3" i="12"/>
  <c r="BU3" i="12"/>
  <c r="BV3" i="12"/>
  <c r="BW3" i="12"/>
  <c r="BX3" i="12"/>
  <c r="BY3" i="12"/>
  <c r="BZ3" i="12"/>
  <c r="CA3" i="12"/>
  <c r="CB3" i="12"/>
  <c r="CC3" i="12"/>
  <c r="CD3" i="12"/>
  <c r="CE3" i="12"/>
  <c r="CF3" i="12"/>
  <c r="CG3" i="12"/>
  <c r="CH3" i="12"/>
  <c r="CI3" i="12"/>
  <c r="CJ3" i="12"/>
  <c r="CK3" i="12"/>
  <c r="CL3" i="12"/>
  <c r="CM3" i="12"/>
  <c r="CN3" i="12"/>
  <c r="CO3" i="12"/>
  <c r="CP3" i="12"/>
  <c r="CQ3" i="12"/>
  <c r="CR3" i="12"/>
  <c r="CS3" i="12"/>
  <c r="CT3" i="12"/>
  <c r="CU3" i="12"/>
  <c r="CV3" i="12"/>
  <c r="CW3" i="12"/>
  <c r="C49" i="11"/>
  <c r="B54" i="11"/>
  <c r="C25" i="11"/>
  <c r="C24" i="11"/>
  <c r="C23" i="11"/>
  <c r="C22" i="11"/>
  <c r="C21" i="11"/>
  <c r="C20" i="11"/>
  <c r="C19" i="11"/>
  <c r="C18" i="11"/>
  <c r="C17" i="11"/>
  <c r="C16" i="11"/>
  <c r="C15" i="11"/>
  <c r="C14" i="11"/>
  <c r="C13" i="11"/>
  <c r="C12" i="11"/>
  <c r="C11" i="11"/>
  <c r="C10" i="11"/>
  <c r="C9" i="11"/>
  <c r="C8" i="11"/>
  <c r="C7" i="11"/>
  <c r="C6" i="11"/>
  <c r="C5" i="11"/>
  <c r="C4" i="11"/>
  <c r="C3" i="11"/>
  <c r="R2" i="11"/>
  <c r="C26" i="11"/>
  <c r="C32" i="11"/>
  <c r="C31" i="11"/>
  <c r="C30" i="11"/>
  <c r="C29" i="11"/>
  <c r="C28" i="11"/>
  <c r="C27" i="11"/>
  <c r="C47" i="11"/>
  <c r="C46" i="11"/>
  <c r="C45" i="11"/>
  <c r="C44" i="11"/>
  <c r="C43" i="11"/>
  <c r="C42" i="11"/>
  <c r="C41" i="11"/>
  <c r="C40" i="11"/>
  <c r="C39" i="11"/>
  <c r="C38" i="11"/>
  <c r="C37" i="11"/>
  <c r="C36" i="11"/>
  <c r="C35" i="11"/>
  <c r="C34" i="11"/>
  <c r="C33" i="11"/>
  <c r="C48" i="11"/>
  <c r="O2"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M212" i="10" s="1"/>
  <c r="L14" i="10"/>
  <c r="C582" i="10"/>
  <c r="D582" i="10" s="1"/>
  <c r="C581" i="10"/>
  <c r="C580" i="10"/>
  <c r="D580" i="10" s="1"/>
  <c r="C579" i="10"/>
  <c r="D579" i="10" s="1"/>
  <c r="C578" i="10"/>
  <c r="D578" i="10" s="1"/>
  <c r="C577" i="10"/>
  <c r="D577" i="10" s="1"/>
  <c r="C576" i="10"/>
  <c r="D576" i="10" s="1"/>
  <c r="C575" i="10"/>
  <c r="D575" i="10" s="1"/>
  <c r="C574" i="10"/>
  <c r="D574" i="10" s="1"/>
  <c r="C573" i="10"/>
  <c r="D573" i="10" s="1"/>
  <c r="C572" i="10"/>
  <c r="D572" i="10" s="1"/>
  <c r="C571" i="10"/>
  <c r="D571" i="10" s="1"/>
  <c r="C570" i="10"/>
  <c r="D570" i="10" s="1"/>
  <c r="C569" i="10"/>
  <c r="D569" i="10" s="1"/>
  <c r="C568" i="10"/>
  <c r="D568" i="10" s="1"/>
  <c r="C567" i="10"/>
  <c r="D567" i="10" s="1"/>
  <c r="C566" i="10"/>
  <c r="D566" i="10" s="1"/>
  <c r="C565" i="10"/>
  <c r="C564" i="10"/>
  <c r="D564" i="10" s="1"/>
  <c r="C563" i="10"/>
  <c r="D563" i="10" s="1"/>
  <c r="C562" i="10"/>
  <c r="D562" i="10" s="1"/>
  <c r="C561" i="10"/>
  <c r="D561" i="10" s="1"/>
  <c r="C560" i="10"/>
  <c r="D560" i="10" s="1"/>
  <c r="C559" i="10"/>
  <c r="D559" i="10" s="1"/>
  <c r="C558" i="10"/>
  <c r="D558" i="10" s="1"/>
  <c r="C557" i="10"/>
  <c r="C556" i="10"/>
  <c r="D556" i="10" s="1"/>
  <c r="C555" i="10"/>
  <c r="D555" i="10" s="1"/>
  <c r="C554" i="10"/>
  <c r="D554" i="10" s="1"/>
  <c r="C553" i="10"/>
  <c r="D553" i="10" s="1"/>
  <c r="C552" i="10"/>
  <c r="D552" i="10" s="1"/>
  <c r="C551" i="10"/>
  <c r="D551" i="10" s="1"/>
  <c r="C550" i="10"/>
  <c r="D550" i="10" s="1"/>
  <c r="C549" i="10"/>
  <c r="D549" i="10" s="1"/>
  <c r="C548" i="10"/>
  <c r="D548" i="10" s="1"/>
  <c r="C547" i="10"/>
  <c r="D547" i="10" s="1"/>
  <c r="C546" i="10"/>
  <c r="D546" i="10" s="1"/>
  <c r="C545" i="10"/>
  <c r="D545" i="10" s="1"/>
  <c r="C544" i="10"/>
  <c r="D544" i="10" s="1"/>
  <c r="C543" i="10"/>
  <c r="D543" i="10" s="1"/>
  <c r="C542" i="10"/>
  <c r="D542" i="10" s="1"/>
  <c r="C541" i="10"/>
  <c r="C540" i="10"/>
  <c r="D540" i="10" s="1"/>
  <c r="C539" i="10"/>
  <c r="D539" i="10" s="1"/>
  <c r="C538" i="10"/>
  <c r="D538" i="10" s="1"/>
  <c r="C537" i="10"/>
  <c r="D537" i="10" s="1"/>
  <c r="C536" i="10"/>
  <c r="D536" i="10" s="1"/>
  <c r="C535" i="10"/>
  <c r="D535" i="10" s="1"/>
  <c r="C534" i="10"/>
  <c r="D534" i="10" s="1"/>
  <c r="C533" i="10"/>
  <c r="D533" i="10" s="1"/>
  <c r="C532" i="10"/>
  <c r="D532" i="10" s="1"/>
  <c r="C531" i="10"/>
  <c r="D531" i="10" s="1"/>
  <c r="C530" i="10"/>
  <c r="D530" i="10" s="1"/>
  <c r="C529" i="10"/>
  <c r="D529" i="10" s="1"/>
  <c r="C528" i="10"/>
  <c r="D528" i="10" s="1"/>
  <c r="C527" i="10"/>
  <c r="D527" i="10" s="1"/>
  <c r="C526" i="10"/>
  <c r="D526" i="10" s="1"/>
  <c r="C525" i="10"/>
  <c r="D525" i="10" s="1"/>
  <c r="C524" i="10"/>
  <c r="D524" i="10" s="1"/>
  <c r="C523" i="10"/>
  <c r="D523" i="10" s="1"/>
  <c r="C522" i="10"/>
  <c r="D522" i="10" s="1"/>
  <c r="C521" i="10"/>
  <c r="D521" i="10" s="1"/>
  <c r="C520" i="10"/>
  <c r="D520" i="10" s="1"/>
  <c r="C519" i="10"/>
  <c r="D519" i="10" s="1"/>
  <c r="C518" i="10"/>
  <c r="D518" i="10" s="1"/>
  <c r="C517" i="10"/>
  <c r="D517" i="10" s="1"/>
  <c r="C516" i="10"/>
  <c r="D516" i="10" s="1"/>
  <c r="C515" i="10"/>
  <c r="D515" i="10" s="1"/>
  <c r="C514" i="10"/>
  <c r="D514" i="10" s="1"/>
  <c r="C513" i="10"/>
  <c r="D513" i="10" s="1"/>
  <c r="C512" i="10"/>
  <c r="D512" i="10" s="1"/>
  <c r="C511" i="10"/>
  <c r="D511" i="10" s="1"/>
  <c r="C510" i="10"/>
  <c r="D510" i="10" s="1"/>
  <c r="C509" i="10"/>
  <c r="C508" i="10"/>
  <c r="D508" i="10" s="1"/>
  <c r="C507" i="10"/>
  <c r="D507" i="10" s="1"/>
  <c r="C506" i="10"/>
  <c r="D506" i="10" s="1"/>
  <c r="C505" i="10"/>
  <c r="D505" i="10" s="1"/>
  <c r="C504" i="10"/>
  <c r="D504" i="10" s="1"/>
  <c r="C503" i="10"/>
  <c r="D503" i="10" s="1"/>
  <c r="C502" i="10"/>
  <c r="D502" i="10" s="1"/>
  <c r="C501" i="10"/>
  <c r="D501" i="10" s="1"/>
  <c r="C500" i="10"/>
  <c r="D500" i="10" s="1"/>
  <c r="C499" i="10"/>
  <c r="D499" i="10" s="1"/>
  <c r="C498" i="10"/>
  <c r="D498" i="10" s="1"/>
  <c r="C497" i="10"/>
  <c r="D497" i="10" s="1"/>
  <c r="C496" i="10"/>
  <c r="D496" i="10" s="1"/>
  <c r="C495" i="10"/>
  <c r="D495" i="10" s="1"/>
  <c r="C494" i="10"/>
  <c r="D494" i="10" s="1"/>
  <c r="C493" i="10"/>
  <c r="D493" i="10" s="1"/>
  <c r="C492" i="10"/>
  <c r="D492" i="10" s="1"/>
  <c r="C491" i="10"/>
  <c r="D491" i="10" s="1"/>
  <c r="C490" i="10"/>
  <c r="D490" i="10" s="1"/>
  <c r="C489" i="10"/>
  <c r="D489" i="10" s="1"/>
  <c r="C488" i="10"/>
  <c r="D488" i="10" s="1"/>
  <c r="C487" i="10"/>
  <c r="D487" i="10" s="1"/>
  <c r="C486" i="10"/>
  <c r="D486" i="10" s="1"/>
  <c r="C485" i="10"/>
  <c r="D485" i="10" s="1"/>
  <c r="C484" i="10"/>
  <c r="D484" i="10" s="1"/>
  <c r="C483" i="10"/>
  <c r="D483" i="10" s="1"/>
  <c r="C482" i="10"/>
  <c r="D482" i="10" s="1"/>
  <c r="C481" i="10"/>
  <c r="D481" i="10" s="1"/>
  <c r="C480" i="10"/>
  <c r="D480" i="10" s="1"/>
  <c r="C479" i="10"/>
  <c r="D479" i="10" s="1"/>
  <c r="C478" i="10"/>
  <c r="D478" i="10" s="1"/>
  <c r="C477" i="10"/>
  <c r="D477" i="10" s="1"/>
  <c r="C476" i="10"/>
  <c r="D476" i="10" s="1"/>
  <c r="C475" i="10"/>
  <c r="D475" i="10" s="1"/>
  <c r="C474" i="10"/>
  <c r="D474" i="10" s="1"/>
  <c r="C473" i="10"/>
  <c r="D473" i="10" s="1"/>
  <c r="C472" i="10"/>
  <c r="D472" i="10" s="1"/>
  <c r="C471" i="10"/>
  <c r="D471" i="10" s="1"/>
  <c r="C470" i="10"/>
  <c r="D470" i="10" s="1"/>
  <c r="C469" i="10"/>
  <c r="D469" i="10" s="1"/>
  <c r="C468" i="10"/>
  <c r="D468" i="10" s="1"/>
  <c r="C467" i="10"/>
  <c r="D467" i="10" s="1"/>
  <c r="C466" i="10"/>
  <c r="D466" i="10" s="1"/>
  <c r="C465" i="10"/>
  <c r="D465" i="10" s="1"/>
  <c r="C464" i="10"/>
  <c r="D464" i="10" s="1"/>
  <c r="C463" i="10"/>
  <c r="D463" i="10" s="1"/>
  <c r="C462" i="10"/>
  <c r="D462" i="10" s="1"/>
  <c r="C461" i="10"/>
  <c r="D461" i="10" s="1"/>
  <c r="C460" i="10"/>
  <c r="D460" i="10" s="1"/>
  <c r="C459" i="10"/>
  <c r="D459" i="10" s="1"/>
  <c r="C458" i="10"/>
  <c r="D458" i="10" s="1"/>
  <c r="C457" i="10"/>
  <c r="D457" i="10" s="1"/>
  <c r="C456" i="10"/>
  <c r="D456" i="10" s="1"/>
  <c r="C455" i="10"/>
  <c r="D455" i="10" s="1"/>
  <c r="C454" i="10"/>
  <c r="D454" i="10" s="1"/>
  <c r="C453" i="10"/>
  <c r="D453" i="10" s="1"/>
  <c r="C452" i="10"/>
  <c r="D452" i="10" s="1"/>
  <c r="C451" i="10"/>
  <c r="D451" i="10" s="1"/>
  <c r="C450" i="10"/>
  <c r="D450" i="10" s="1"/>
  <c r="C449" i="10"/>
  <c r="D449" i="10" s="1"/>
  <c r="C448" i="10"/>
  <c r="D448" i="10" s="1"/>
  <c r="C447" i="10"/>
  <c r="D447" i="10" s="1"/>
  <c r="C446" i="10"/>
  <c r="D446" i="10" s="1"/>
  <c r="C445" i="10"/>
  <c r="D445" i="10" s="1"/>
  <c r="C444" i="10"/>
  <c r="D444" i="10" s="1"/>
  <c r="C443" i="10"/>
  <c r="D443" i="10" s="1"/>
  <c r="C442" i="10"/>
  <c r="D442" i="10" s="1"/>
  <c r="C441" i="10"/>
  <c r="D441" i="10" s="1"/>
  <c r="C440" i="10"/>
  <c r="D440" i="10" s="1"/>
  <c r="C439" i="10"/>
  <c r="D439" i="10" s="1"/>
  <c r="C438" i="10"/>
  <c r="D438" i="10" s="1"/>
  <c r="C437" i="10"/>
  <c r="D437" i="10" s="1"/>
  <c r="C436" i="10"/>
  <c r="D436" i="10" s="1"/>
  <c r="C435" i="10"/>
  <c r="D435" i="10" s="1"/>
  <c r="C434" i="10"/>
  <c r="D434" i="10" s="1"/>
  <c r="C433" i="10"/>
  <c r="D433" i="10" s="1"/>
  <c r="C432" i="10"/>
  <c r="D432" i="10" s="1"/>
  <c r="C431" i="10"/>
  <c r="D431" i="10" s="1"/>
  <c r="C430" i="10"/>
  <c r="D430" i="10" s="1"/>
  <c r="C429" i="10"/>
  <c r="D429" i="10" s="1"/>
  <c r="C428" i="10"/>
  <c r="D428" i="10" s="1"/>
  <c r="C427" i="10"/>
  <c r="D427" i="10" s="1"/>
  <c r="C426" i="10"/>
  <c r="D426" i="10" s="1"/>
  <c r="C425" i="10"/>
  <c r="D425" i="10" s="1"/>
  <c r="C424" i="10"/>
  <c r="D424" i="10" s="1"/>
  <c r="C423" i="10"/>
  <c r="D423" i="10" s="1"/>
  <c r="C422" i="10"/>
  <c r="D422" i="10" s="1"/>
  <c r="C421" i="10"/>
  <c r="D421" i="10" s="1"/>
  <c r="C420" i="10"/>
  <c r="D420" i="10" s="1"/>
  <c r="C419" i="10"/>
  <c r="D419" i="10" s="1"/>
  <c r="C418" i="10"/>
  <c r="D418" i="10" s="1"/>
  <c r="C417" i="10"/>
  <c r="D417" i="10" s="1"/>
  <c r="C416" i="10"/>
  <c r="D416" i="10" s="1"/>
  <c r="C415" i="10"/>
  <c r="D415" i="10" s="1"/>
  <c r="C414" i="10"/>
  <c r="D414" i="10" s="1"/>
  <c r="C413" i="10"/>
  <c r="D413" i="10" s="1"/>
  <c r="C412" i="10"/>
  <c r="D412" i="10" s="1"/>
  <c r="C411" i="10"/>
  <c r="D411" i="10" s="1"/>
  <c r="C410" i="10"/>
  <c r="D410" i="10" s="1"/>
  <c r="C409" i="10"/>
  <c r="D409" i="10" s="1"/>
  <c r="C408" i="10"/>
  <c r="D408" i="10" s="1"/>
  <c r="C407" i="10"/>
  <c r="D407" i="10" s="1"/>
  <c r="C406" i="10"/>
  <c r="D406" i="10" s="1"/>
  <c r="C405" i="10"/>
  <c r="D405" i="10" s="1"/>
  <c r="C404" i="10"/>
  <c r="D404" i="10" s="1"/>
  <c r="C403" i="10"/>
  <c r="D403" i="10" s="1"/>
  <c r="C402" i="10"/>
  <c r="D402" i="10" s="1"/>
  <c r="C401" i="10"/>
  <c r="D401" i="10" s="1"/>
  <c r="C400" i="10"/>
  <c r="D400" i="10" s="1"/>
  <c r="C399" i="10"/>
  <c r="D399" i="10" s="1"/>
  <c r="C398" i="10"/>
  <c r="D398" i="10" s="1"/>
  <c r="C397" i="10"/>
  <c r="D397" i="10" s="1"/>
  <c r="C396" i="10"/>
  <c r="D396" i="10" s="1"/>
  <c r="C395" i="10"/>
  <c r="D395" i="10" s="1"/>
  <c r="C394" i="10"/>
  <c r="D394" i="10" s="1"/>
  <c r="C393" i="10"/>
  <c r="D393" i="10" s="1"/>
  <c r="C392" i="10"/>
  <c r="D392" i="10" s="1"/>
  <c r="C391" i="10"/>
  <c r="D391" i="10" s="1"/>
  <c r="C390" i="10"/>
  <c r="D390" i="10" s="1"/>
  <c r="C389" i="10"/>
  <c r="D389" i="10" s="1"/>
  <c r="C388" i="10"/>
  <c r="D388" i="10" s="1"/>
  <c r="C387" i="10"/>
  <c r="D387" i="10" s="1"/>
  <c r="C386" i="10"/>
  <c r="D386" i="10" s="1"/>
  <c r="C385" i="10"/>
  <c r="D385" i="10" s="1"/>
  <c r="C384" i="10"/>
  <c r="D384" i="10" s="1"/>
  <c r="C383" i="10"/>
  <c r="D383" i="10" s="1"/>
  <c r="C382" i="10"/>
  <c r="D382" i="10" s="1"/>
  <c r="C381" i="10"/>
  <c r="C380" i="10"/>
  <c r="D380" i="10" s="1"/>
  <c r="C379" i="10"/>
  <c r="D379" i="10" s="1"/>
  <c r="C378" i="10"/>
  <c r="D378" i="10" s="1"/>
  <c r="C377" i="10"/>
  <c r="D377" i="10" s="1"/>
  <c r="C376" i="10"/>
  <c r="D376" i="10" s="1"/>
  <c r="C375" i="10"/>
  <c r="D375" i="10" s="1"/>
  <c r="C374" i="10"/>
  <c r="D374" i="10" s="1"/>
  <c r="C373" i="10"/>
  <c r="C372" i="10"/>
  <c r="D372" i="10" s="1"/>
  <c r="C371" i="10"/>
  <c r="D371" i="10" s="1"/>
  <c r="C370" i="10"/>
  <c r="D370" i="10" s="1"/>
  <c r="C369" i="10"/>
  <c r="D369" i="10" s="1"/>
  <c r="C368" i="10"/>
  <c r="D368" i="10" s="1"/>
  <c r="C367" i="10"/>
  <c r="D367" i="10" s="1"/>
  <c r="C366" i="10"/>
  <c r="D366" i="10" s="1"/>
  <c r="C365" i="10"/>
  <c r="D365" i="10" s="1"/>
  <c r="C364" i="10"/>
  <c r="D364" i="10" s="1"/>
  <c r="C363" i="10"/>
  <c r="D363" i="10" s="1"/>
  <c r="C362" i="10"/>
  <c r="D362" i="10" s="1"/>
  <c r="C361" i="10"/>
  <c r="D361" i="10" s="1"/>
  <c r="C360" i="10"/>
  <c r="D360" i="10" s="1"/>
  <c r="C359" i="10"/>
  <c r="D359" i="10" s="1"/>
  <c r="C358" i="10"/>
  <c r="D358" i="10" s="1"/>
  <c r="C357" i="10"/>
  <c r="D357" i="10" s="1"/>
  <c r="C356" i="10"/>
  <c r="D356" i="10" s="1"/>
  <c r="C355" i="10"/>
  <c r="D355" i="10" s="1"/>
  <c r="C354" i="10"/>
  <c r="D354" i="10" s="1"/>
  <c r="C353" i="10"/>
  <c r="D353" i="10" s="1"/>
  <c r="C352" i="10"/>
  <c r="D352" i="10" s="1"/>
  <c r="C351" i="10"/>
  <c r="D351" i="10" s="1"/>
  <c r="C350" i="10"/>
  <c r="D350" i="10" s="1"/>
  <c r="C349" i="10"/>
  <c r="D349" i="10" s="1"/>
  <c r="C348" i="10"/>
  <c r="D348" i="10" s="1"/>
  <c r="C347" i="10"/>
  <c r="D347" i="10" s="1"/>
  <c r="C346" i="10"/>
  <c r="D346" i="10" s="1"/>
  <c r="C345" i="10"/>
  <c r="D345" i="10" s="1"/>
  <c r="C344" i="10"/>
  <c r="D344" i="10" s="1"/>
  <c r="C343" i="10"/>
  <c r="D343" i="10" s="1"/>
  <c r="C342" i="10"/>
  <c r="D342" i="10" s="1"/>
  <c r="C341" i="10"/>
  <c r="D341" i="10" s="1"/>
  <c r="C340" i="10"/>
  <c r="D340" i="10" s="1"/>
  <c r="C339" i="10"/>
  <c r="D339" i="10" s="1"/>
  <c r="C338" i="10"/>
  <c r="D338" i="10" s="1"/>
  <c r="C337" i="10"/>
  <c r="D337" i="10" s="1"/>
  <c r="C336" i="10"/>
  <c r="D336" i="10" s="1"/>
  <c r="C335" i="10"/>
  <c r="D335" i="10" s="1"/>
  <c r="C334" i="10"/>
  <c r="D334" i="10" s="1"/>
  <c r="C333" i="10"/>
  <c r="D333" i="10" s="1"/>
  <c r="C332" i="10"/>
  <c r="D332" i="10" s="1"/>
  <c r="C331" i="10"/>
  <c r="D331" i="10" s="1"/>
  <c r="C330" i="10"/>
  <c r="D330" i="10" s="1"/>
  <c r="C329" i="10"/>
  <c r="D329" i="10" s="1"/>
  <c r="C328" i="10"/>
  <c r="D328" i="10" s="1"/>
  <c r="C327" i="10"/>
  <c r="D327" i="10" s="1"/>
  <c r="C326" i="10"/>
  <c r="D326" i="10" s="1"/>
  <c r="C325" i="10"/>
  <c r="D325" i="10" s="1"/>
  <c r="C324" i="10"/>
  <c r="D324" i="10" s="1"/>
  <c r="C323" i="10"/>
  <c r="D323" i="10" s="1"/>
  <c r="C322" i="10"/>
  <c r="D322" i="10" s="1"/>
  <c r="C321" i="10"/>
  <c r="D321" i="10" s="1"/>
  <c r="C320" i="10"/>
  <c r="D320" i="10" s="1"/>
  <c r="C319" i="10"/>
  <c r="D319" i="10" s="1"/>
  <c r="C318" i="10"/>
  <c r="D318" i="10" s="1"/>
  <c r="C317" i="10"/>
  <c r="D317" i="10" s="1"/>
  <c r="C316" i="10"/>
  <c r="D316" i="10" s="1"/>
  <c r="C315" i="10"/>
  <c r="D315" i="10" s="1"/>
  <c r="C314" i="10"/>
  <c r="D314" i="10" s="1"/>
  <c r="C313" i="10"/>
  <c r="D313" i="10" s="1"/>
  <c r="C312" i="10"/>
  <c r="D312" i="10" s="1"/>
  <c r="C311" i="10"/>
  <c r="D311" i="10" s="1"/>
  <c r="C310" i="10"/>
  <c r="D310" i="10" s="1"/>
  <c r="C309" i="10"/>
  <c r="D309" i="10" s="1"/>
  <c r="C308" i="10"/>
  <c r="D308" i="10" s="1"/>
  <c r="C307" i="10"/>
  <c r="D307" i="10" s="1"/>
  <c r="C306" i="10"/>
  <c r="D306" i="10" s="1"/>
  <c r="C305" i="10"/>
  <c r="D305" i="10" s="1"/>
  <c r="C304" i="10"/>
  <c r="D304" i="10" s="1"/>
  <c r="C303" i="10"/>
  <c r="D303" i="10" s="1"/>
  <c r="C302" i="10"/>
  <c r="D302" i="10" s="1"/>
  <c r="C301" i="10"/>
  <c r="C300" i="10"/>
  <c r="D300" i="10" s="1"/>
  <c r="C299" i="10"/>
  <c r="D299" i="10" s="1"/>
  <c r="C298" i="10"/>
  <c r="D298" i="10" s="1"/>
  <c r="C297" i="10"/>
  <c r="D297" i="10" s="1"/>
  <c r="C296" i="10"/>
  <c r="D296" i="10" s="1"/>
  <c r="C295" i="10"/>
  <c r="D295" i="10" s="1"/>
  <c r="C294" i="10"/>
  <c r="D294" i="10" s="1"/>
  <c r="C293" i="10"/>
  <c r="D293" i="10" s="1"/>
  <c r="C292" i="10"/>
  <c r="D292" i="10" s="1"/>
  <c r="C291" i="10"/>
  <c r="D291" i="10" s="1"/>
  <c r="C290" i="10"/>
  <c r="D290" i="10" s="1"/>
  <c r="C289" i="10"/>
  <c r="D289" i="10" s="1"/>
  <c r="C288" i="10"/>
  <c r="D288" i="10" s="1"/>
  <c r="C287" i="10"/>
  <c r="D287" i="10" s="1"/>
  <c r="C286" i="10"/>
  <c r="D286" i="10" s="1"/>
  <c r="C285" i="10"/>
  <c r="D285" i="10" s="1"/>
  <c r="C284" i="10"/>
  <c r="D284" i="10" s="1"/>
  <c r="C283" i="10"/>
  <c r="D283" i="10" s="1"/>
  <c r="C282" i="10"/>
  <c r="D282" i="10" s="1"/>
  <c r="C281" i="10"/>
  <c r="D281" i="10" s="1"/>
  <c r="C280" i="10"/>
  <c r="D280" i="10" s="1"/>
  <c r="C279" i="10"/>
  <c r="D279" i="10" s="1"/>
  <c r="C278" i="10"/>
  <c r="D278" i="10" s="1"/>
  <c r="C277" i="10"/>
  <c r="D277" i="10" s="1"/>
  <c r="C276" i="10"/>
  <c r="D276" i="10" s="1"/>
  <c r="C275" i="10"/>
  <c r="D275" i="10" s="1"/>
  <c r="C274" i="10"/>
  <c r="D274" i="10" s="1"/>
  <c r="C273" i="10"/>
  <c r="D273" i="10" s="1"/>
  <c r="C272" i="10"/>
  <c r="D272" i="10" s="1"/>
  <c r="C271" i="10"/>
  <c r="D271" i="10" s="1"/>
  <c r="C270" i="10"/>
  <c r="D270" i="10" s="1"/>
  <c r="C269" i="10"/>
  <c r="D269" i="10" s="1"/>
  <c r="C268" i="10"/>
  <c r="D268" i="10" s="1"/>
  <c r="C267" i="10"/>
  <c r="D267" i="10" s="1"/>
  <c r="C266" i="10"/>
  <c r="D266" i="10" s="1"/>
  <c r="C265" i="10"/>
  <c r="D265" i="10" s="1"/>
  <c r="C264" i="10"/>
  <c r="D264" i="10" s="1"/>
  <c r="C263" i="10"/>
  <c r="D263" i="10" s="1"/>
  <c r="C262" i="10"/>
  <c r="D262" i="10" s="1"/>
  <c r="C261" i="10"/>
  <c r="D261" i="10" s="1"/>
  <c r="C260" i="10"/>
  <c r="D260" i="10" s="1"/>
  <c r="C259" i="10"/>
  <c r="D259" i="10" s="1"/>
  <c r="C258" i="10"/>
  <c r="D258" i="10" s="1"/>
  <c r="C257" i="10"/>
  <c r="D257" i="10" s="1"/>
  <c r="C256" i="10"/>
  <c r="D256" i="10" s="1"/>
  <c r="C255" i="10"/>
  <c r="D255" i="10" s="1"/>
  <c r="C254" i="10"/>
  <c r="D254" i="10" s="1"/>
  <c r="C253" i="10"/>
  <c r="C252" i="10"/>
  <c r="D252" i="10" s="1"/>
  <c r="C251" i="10"/>
  <c r="D251" i="10" s="1"/>
  <c r="C250" i="10"/>
  <c r="D250" i="10" s="1"/>
  <c r="C249" i="10"/>
  <c r="D249" i="10" s="1"/>
  <c r="C248" i="10"/>
  <c r="D248" i="10" s="1"/>
  <c r="C247" i="10"/>
  <c r="D247" i="10" s="1"/>
  <c r="C246" i="10"/>
  <c r="D246" i="10" s="1"/>
  <c r="C245" i="10"/>
  <c r="D245" i="10" s="1"/>
  <c r="C244" i="10"/>
  <c r="D244" i="10" s="1"/>
  <c r="C243" i="10"/>
  <c r="D243" i="10" s="1"/>
  <c r="C242" i="10"/>
  <c r="D242" i="10" s="1"/>
  <c r="C241" i="10"/>
  <c r="D241" i="10" s="1"/>
  <c r="C240" i="10"/>
  <c r="D240" i="10" s="1"/>
  <c r="C239" i="10"/>
  <c r="D239" i="10" s="1"/>
  <c r="C238" i="10"/>
  <c r="D238" i="10" s="1"/>
  <c r="C237" i="10"/>
  <c r="D237" i="10" s="1"/>
  <c r="C236" i="10"/>
  <c r="D236" i="10" s="1"/>
  <c r="C235" i="10"/>
  <c r="D235" i="10" s="1"/>
  <c r="C234" i="10"/>
  <c r="D234" i="10" s="1"/>
  <c r="C233" i="10"/>
  <c r="D233" i="10" s="1"/>
  <c r="C232" i="10"/>
  <c r="D232" i="10" s="1"/>
  <c r="C231" i="10"/>
  <c r="D231" i="10" s="1"/>
  <c r="C230" i="10"/>
  <c r="D230" i="10" s="1"/>
  <c r="C229" i="10"/>
  <c r="D229" i="10" s="1"/>
  <c r="C228" i="10"/>
  <c r="D228" i="10" s="1"/>
  <c r="C227" i="10"/>
  <c r="D227" i="10" s="1"/>
  <c r="C226" i="10"/>
  <c r="D226" i="10" s="1"/>
  <c r="C225" i="10"/>
  <c r="D225" i="10" s="1"/>
  <c r="C224" i="10"/>
  <c r="D224" i="10" s="1"/>
  <c r="C223" i="10"/>
  <c r="D223" i="10" s="1"/>
  <c r="C222" i="10"/>
  <c r="D222" i="10" s="1"/>
  <c r="C221" i="10"/>
  <c r="D221" i="10" s="1"/>
  <c r="C220" i="10"/>
  <c r="D220" i="10" s="1"/>
  <c r="C219" i="10"/>
  <c r="D219" i="10" s="1"/>
  <c r="C218" i="10"/>
  <c r="D218" i="10" s="1"/>
  <c r="C217" i="10"/>
  <c r="D217" i="10" s="1"/>
  <c r="C216" i="10"/>
  <c r="D216" i="10" s="1"/>
  <c r="C215" i="10"/>
  <c r="D215" i="10" s="1"/>
  <c r="C214" i="10"/>
  <c r="D214" i="10" s="1"/>
  <c r="C213" i="10"/>
  <c r="D213" i="10" s="1"/>
  <c r="C212" i="10"/>
  <c r="D212" i="10" s="1"/>
  <c r="C211" i="10"/>
  <c r="D211" i="10" s="1"/>
  <c r="C210" i="10"/>
  <c r="D210" i="10" s="1"/>
  <c r="C209" i="10"/>
  <c r="D209" i="10" s="1"/>
  <c r="C208" i="10"/>
  <c r="D208" i="10" s="1"/>
  <c r="C207" i="10"/>
  <c r="D207" i="10" s="1"/>
  <c r="C206" i="10"/>
  <c r="D206" i="10" s="1"/>
  <c r="C205" i="10"/>
  <c r="D205" i="10" s="1"/>
  <c r="C204" i="10"/>
  <c r="D204" i="10" s="1"/>
  <c r="C203" i="10"/>
  <c r="D203" i="10" s="1"/>
  <c r="C202" i="10"/>
  <c r="D202" i="10" s="1"/>
  <c r="C201" i="10"/>
  <c r="D201" i="10" s="1"/>
  <c r="C200" i="10"/>
  <c r="D200" i="10" s="1"/>
  <c r="C199" i="10"/>
  <c r="D199" i="10" s="1"/>
  <c r="C198" i="10"/>
  <c r="D198" i="10" s="1"/>
  <c r="C197" i="10"/>
  <c r="D197" i="10" s="1"/>
  <c r="C196" i="10"/>
  <c r="D196" i="10" s="1"/>
  <c r="C195" i="10"/>
  <c r="D195" i="10" s="1"/>
  <c r="C194" i="10"/>
  <c r="D194" i="10" s="1"/>
  <c r="C193" i="10"/>
  <c r="D193" i="10" s="1"/>
  <c r="C192" i="10"/>
  <c r="D192" i="10" s="1"/>
  <c r="C191" i="10"/>
  <c r="D191" i="10" s="1"/>
  <c r="C190" i="10"/>
  <c r="D190" i="10" s="1"/>
  <c r="C189" i="10"/>
  <c r="D189" i="10" s="1"/>
  <c r="C188" i="10"/>
  <c r="D188" i="10" s="1"/>
  <c r="C187" i="10"/>
  <c r="D187" i="10" s="1"/>
  <c r="C186" i="10"/>
  <c r="D186" i="10" s="1"/>
  <c r="C185" i="10"/>
  <c r="D185" i="10" s="1"/>
  <c r="C184" i="10"/>
  <c r="D184" i="10" s="1"/>
  <c r="C183" i="10"/>
  <c r="D183" i="10" s="1"/>
  <c r="C182" i="10"/>
  <c r="D182" i="10" s="1"/>
  <c r="C181" i="10"/>
  <c r="D181" i="10" s="1"/>
  <c r="C180" i="10"/>
  <c r="D180" i="10" s="1"/>
  <c r="C179" i="10"/>
  <c r="D179" i="10" s="1"/>
  <c r="C178" i="10"/>
  <c r="D178" i="10" s="1"/>
  <c r="C177" i="10"/>
  <c r="D177" i="10" s="1"/>
  <c r="C176" i="10"/>
  <c r="D176" i="10" s="1"/>
  <c r="C175" i="10"/>
  <c r="D175" i="10" s="1"/>
  <c r="C174" i="10"/>
  <c r="D174" i="10" s="1"/>
  <c r="C173" i="10"/>
  <c r="D173" i="10" s="1"/>
  <c r="C172" i="10"/>
  <c r="D172" i="10" s="1"/>
  <c r="C171" i="10"/>
  <c r="D171" i="10" s="1"/>
  <c r="C170" i="10"/>
  <c r="D170" i="10" s="1"/>
  <c r="C169" i="10"/>
  <c r="D169" i="10" s="1"/>
  <c r="C168" i="10"/>
  <c r="D168" i="10" s="1"/>
  <c r="C167" i="10"/>
  <c r="D167" i="10" s="1"/>
  <c r="C166" i="10"/>
  <c r="D166" i="10" s="1"/>
  <c r="C165" i="10"/>
  <c r="D165" i="10" s="1"/>
  <c r="C164" i="10"/>
  <c r="D164" i="10" s="1"/>
  <c r="C163" i="10"/>
  <c r="D163" i="10" s="1"/>
  <c r="C162" i="10"/>
  <c r="D162" i="10" s="1"/>
  <c r="C161" i="10"/>
  <c r="D161" i="10" s="1"/>
  <c r="C160" i="10"/>
  <c r="D160" i="10" s="1"/>
  <c r="C159" i="10"/>
  <c r="D159" i="10" s="1"/>
  <c r="C158" i="10"/>
  <c r="D158" i="10" s="1"/>
  <c r="C157" i="10"/>
  <c r="D157" i="10" s="1"/>
  <c r="C156" i="10"/>
  <c r="D156" i="10" s="1"/>
  <c r="C155" i="10"/>
  <c r="D155" i="10" s="1"/>
  <c r="C154" i="10"/>
  <c r="D154" i="10" s="1"/>
  <c r="C153" i="10"/>
  <c r="D153" i="10" s="1"/>
  <c r="C152" i="10"/>
  <c r="D152" i="10" s="1"/>
  <c r="C151" i="10"/>
  <c r="D151" i="10" s="1"/>
  <c r="C150" i="10"/>
  <c r="D150" i="10" s="1"/>
  <c r="C149" i="10"/>
  <c r="D149" i="10" s="1"/>
  <c r="C148" i="10"/>
  <c r="D148" i="10" s="1"/>
  <c r="C147" i="10"/>
  <c r="D147" i="10" s="1"/>
  <c r="C146" i="10"/>
  <c r="D146" i="10" s="1"/>
  <c r="C145" i="10"/>
  <c r="D145" i="10" s="1"/>
  <c r="C144" i="10"/>
  <c r="D144" i="10" s="1"/>
  <c r="C143" i="10"/>
  <c r="D143" i="10" s="1"/>
  <c r="C142" i="10"/>
  <c r="D142" i="10" s="1"/>
  <c r="C141" i="10"/>
  <c r="D141" i="10" s="1"/>
  <c r="C140" i="10"/>
  <c r="D140" i="10" s="1"/>
  <c r="C139" i="10"/>
  <c r="D139" i="10" s="1"/>
  <c r="C138" i="10"/>
  <c r="D138" i="10" s="1"/>
  <c r="C137" i="10"/>
  <c r="D137" i="10" s="1"/>
  <c r="C136" i="10"/>
  <c r="D136" i="10" s="1"/>
  <c r="C135" i="10"/>
  <c r="D135" i="10" s="1"/>
  <c r="C134" i="10"/>
  <c r="D134" i="10" s="1"/>
  <c r="C133" i="10"/>
  <c r="D133" i="10" s="1"/>
  <c r="C132" i="10"/>
  <c r="D132" i="10" s="1"/>
  <c r="C131" i="10"/>
  <c r="D131" i="10" s="1"/>
  <c r="C130" i="10"/>
  <c r="D130" i="10" s="1"/>
  <c r="C129" i="10"/>
  <c r="D129" i="10" s="1"/>
  <c r="C128" i="10"/>
  <c r="D128" i="10" s="1"/>
  <c r="C127" i="10"/>
  <c r="D127" i="10" s="1"/>
  <c r="C126" i="10"/>
  <c r="D126" i="10" s="1"/>
  <c r="C125" i="10"/>
  <c r="D125" i="10" s="1"/>
  <c r="C124" i="10"/>
  <c r="D124" i="10" s="1"/>
  <c r="C123" i="10"/>
  <c r="D123" i="10" s="1"/>
  <c r="C122" i="10"/>
  <c r="D122" i="10" s="1"/>
  <c r="C121" i="10"/>
  <c r="D121" i="10" s="1"/>
  <c r="C120" i="10"/>
  <c r="D120" i="10" s="1"/>
  <c r="C119" i="10"/>
  <c r="D119" i="10" s="1"/>
  <c r="C118" i="10"/>
  <c r="D118" i="10" s="1"/>
  <c r="C117" i="10"/>
  <c r="D117" i="10" s="1"/>
  <c r="C116" i="10"/>
  <c r="D116" i="10" s="1"/>
  <c r="C115" i="10"/>
  <c r="D115" i="10" s="1"/>
  <c r="C114" i="10"/>
  <c r="D114" i="10" s="1"/>
  <c r="C113" i="10"/>
  <c r="D113" i="10" s="1"/>
  <c r="C112" i="10"/>
  <c r="D112" i="10" s="1"/>
  <c r="C111" i="10"/>
  <c r="D111" i="10" s="1"/>
  <c r="C110" i="10"/>
  <c r="D110" i="10" s="1"/>
  <c r="C109" i="10"/>
  <c r="D109" i="10" s="1"/>
  <c r="C108" i="10"/>
  <c r="D108" i="10" s="1"/>
  <c r="C107" i="10"/>
  <c r="D107" i="10" s="1"/>
  <c r="C106" i="10"/>
  <c r="D106" i="10" s="1"/>
  <c r="C105" i="10"/>
  <c r="D105" i="10" s="1"/>
  <c r="C104" i="10"/>
  <c r="D104" i="10" s="1"/>
  <c r="C103" i="10"/>
  <c r="D103" i="10" s="1"/>
  <c r="C102" i="10"/>
  <c r="D102" i="10" s="1"/>
  <c r="C101" i="10"/>
  <c r="D101" i="10" s="1"/>
  <c r="C100" i="10"/>
  <c r="D100" i="10" s="1"/>
  <c r="C99" i="10"/>
  <c r="D99" i="10" s="1"/>
  <c r="C98" i="10"/>
  <c r="D98" i="10" s="1"/>
  <c r="C97" i="10"/>
  <c r="D97" i="10" s="1"/>
  <c r="C96" i="10"/>
  <c r="D96" i="10" s="1"/>
  <c r="C95" i="10"/>
  <c r="D95" i="10" s="1"/>
  <c r="C94" i="10"/>
  <c r="D94" i="10" s="1"/>
  <c r="C93" i="10"/>
  <c r="D93" i="10" s="1"/>
  <c r="C92" i="10"/>
  <c r="D92" i="10" s="1"/>
  <c r="C91" i="10"/>
  <c r="D91" i="10" s="1"/>
  <c r="C90" i="10"/>
  <c r="D90" i="10" s="1"/>
  <c r="C89" i="10"/>
  <c r="D89" i="10" s="1"/>
  <c r="C88" i="10"/>
  <c r="D88" i="10" s="1"/>
  <c r="C87" i="10"/>
  <c r="D87" i="10" s="1"/>
  <c r="C86" i="10"/>
  <c r="D86" i="10" s="1"/>
  <c r="C85" i="10"/>
  <c r="D85" i="10" s="1"/>
  <c r="C84" i="10"/>
  <c r="D84" i="10" s="1"/>
  <c r="C83" i="10"/>
  <c r="D83" i="10" s="1"/>
  <c r="C82" i="10"/>
  <c r="D82" i="10" s="1"/>
  <c r="C81" i="10"/>
  <c r="D81" i="10" s="1"/>
  <c r="C80" i="10"/>
  <c r="D80" i="10" s="1"/>
  <c r="C79" i="10"/>
  <c r="D79" i="10" s="1"/>
  <c r="C78" i="10"/>
  <c r="D78" i="10" s="1"/>
  <c r="C77" i="10"/>
  <c r="D77" i="10" s="1"/>
  <c r="C76" i="10"/>
  <c r="D76" i="10" s="1"/>
  <c r="C75" i="10"/>
  <c r="D75" i="10" s="1"/>
  <c r="C74" i="10"/>
  <c r="D74" i="10" s="1"/>
  <c r="C73" i="10"/>
  <c r="D73" i="10" s="1"/>
  <c r="C72" i="10"/>
  <c r="D72" i="10" s="1"/>
  <c r="C71" i="10"/>
  <c r="D71" i="10" s="1"/>
  <c r="C70" i="10"/>
  <c r="D70" i="10" s="1"/>
  <c r="C69" i="10"/>
  <c r="D69" i="10" s="1"/>
  <c r="C68" i="10"/>
  <c r="D68" i="10" s="1"/>
  <c r="C67" i="10"/>
  <c r="D67" i="10" s="1"/>
  <c r="C66" i="10"/>
  <c r="D66" i="10" s="1"/>
  <c r="C65" i="10"/>
  <c r="D65" i="10" s="1"/>
  <c r="C64" i="10"/>
  <c r="D64" i="10" s="1"/>
  <c r="C63" i="10"/>
  <c r="D63" i="10" s="1"/>
  <c r="C62" i="10"/>
  <c r="D62" i="10" s="1"/>
  <c r="C61" i="10"/>
  <c r="D61" i="10" s="1"/>
  <c r="C60" i="10"/>
  <c r="D60" i="10" s="1"/>
  <c r="C59" i="10"/>
  <c r="D59" i="10" s="1"/>
  <c r="C58" i="10"/>
  <c r="D58" i="10" s="1"/>
  <c r="C57" i="10"/>
  <c r="D57" i="10" s="1"/>
  <c r="C56" i="10"/>
  <c r="D56" i="10" s="1"/>
  <c r="C55" i="10"/>
  <c r="D55" i="10" s="1"/>
  <c r="C54" i="10"/>
  <c r="D54" i="10" s="1"/>
  <c r="C53" i="10"/>
  <c r="D53" i="10" s="1"/>
  <c r="C52" i="10"/>
  <c r="D52" i="10" s="1"/>
  <c r="C51" i="10"/>
  <c r="D51" i="10" s="1"/>
  <c r="C50" i="10"/>
  <c r="D50" i="10" s="1"/>
  <c r="C49" i="10"/>
  <c r="D49" i="10" s="1"/>
  <c r="C48" i="10"/>
  <c r="D48" i="10" s="1"/>
  <c r="C47" i="10"/>
  <c r="D47" i="10" s="1"/>
  <c r="C46" i="10"/>
  <c r="D46" i="10" s="1"/>
  <c r="C45" i="10"/>
  <c r="D45" i="10" s="1"/>
  <c r="C44" i="10"/>
  <c r="D44" i="10" s="1"/>
  <c r="C43" i="10"/>
  <c r="D43" i="10" s="1"/>
  <c r="C42" i="10"/>
  <c r="D42" i="10" s="1"/>
  <c r="C41" i="10"/>
  <c r="D41" i="10" s="1"/>
  <c r="C40" i="10"/>
  <c r="D40" i="10" s="1"/>
  <c r="C39" i="10"/>
  <c r="D39" i="10" s="1"/>
  <c r="C38" i="10"/>
  <c r="D38" i="10" s="1"/>
  <c r="C37" i="10"/>
  <c r="D37" i="10" s="1"/>
  <c r="C36" i="10"/>
  <c r="D36" i="10" s="1"/>
  <c r="C35" i="10"/>
  <c r="D35" i="10" s="1"/>
  <c r="C34" i="10"/>
  <c r="D34" i="10" s="1"/>
  <c r="C33" i="10"/>
  <c r="D33" i="10" s="1"/>
  <c r="C32" i="10"/>
  <c r="D32" i="10" s="1"/>
  <c r="C31" i="10"/>
  <c r="D31" i="10" s="1"/>
  <c r="C30" i="10"/>
  <c r="D30" i="10" s="1"/>
  <c r="C29" i="10"/>
  <c r="D29" i="10" s="1"/>
  <c r="C28" i="10"/>
  <c r="D28" i="10" s="1"/>
  <c r="C27" i="10"/>
  <c r="D27" i="10" s="1"/>
  <c r="C26" i="10"/>
  <c r="D26" i="10" s="1"/>
  <c r="C25" i="10"/>
  <c r="D25" i="10" s="1"/>
  <c r="C24" i="10"/>
  <c r="D24" i="10" s="1"/>
  <c r="C23" i="10"/>
  <c r="D23" i="10" s="1"/>
  <c r="C22" i="10"/>
  <c r="D22" i="10" s="1"/>
  <c r="C21" i="10"/>
  <c r="D21" i="10" s="1"/>
  <c r="C20" i="10"/>
  <c r="D20" i="10" s="1"/>
  <c r="C19" i="10"/>
  <c r="D19" i="10" s="1"/>
  <c r="C18" i="10"/>
  <c r="D18" i="10" s="1"/>
  <c r="C17" i="10"/>
  <c r="D17" i="10" s="1"/>
  <c r="C16" i="10"/>
  <c r="D16" i="10" s="1"/>
  <c r="C15" i="10"/>
  <c r="D15" i="10" s="1"/>
  <c r="C14" i="10"/>
  <c r="D14" i="10" s="1"/>
  <c r="D381" i="10"/>
  <c r="D373" i="10"/>
  <c r="D301" i="10"/>
  <c r="D253" i="10"/>
  <c r="D509" i="10"/>
  <c r="D541" i="10"/>
  <c r="D565" i="10"/>
  <c r="D557" i="10"/>
  <c r="D581" i="10"/>
  <c r="G107" i="1"/>
  <c r="G108" i="1"/>
  <c r="G109" i="1"/>
  <c r="G110" i="1"/>
  <c r="G111" i="1"/>
  <c r="G112" i="1"/>
  <c r="G100" i="1"/>
  <c r="G101" i="1"/>
  <c r="G102" i="1"/>
  <c r="G103" i="1"/>
  <c r="G104" i="1"/>
  <c r="G105" i="1"/>
  <c r="G106" i="1"/>
  <c r="G87" i="1"/>
  <c r="G88" i="1"/>
  <c r="G89" i="1"/>
  <c r="G90" i="1"/>
  <c r="G91" i="1"/>
  <c r="G92" i="1"/>
  <c r="G93" i="1"/>
  <c r="G94" i="1"/>
  <c r="G95" i="1"/>
  <c r="G96" i="1"/>
  <c r="G97" i="1"/>
  <c r="G98" i="1"/>
  <c r="G99" i="1"/>
  <c r="G73" i="1"/>
  <c r="G74" i="1"/>
  <c r="G75" i="1"/>
  <c r="G76" i="1"/>
  <c r="G77" i="1"/>
  <c r="G78" i="1"/>
  <c r="G79" i="1"/>
  <c r="G80" i="1"/>
  <c r="G81" i="1"/>
  <c r="G82" i="1"/>
  <c r="G83" i="1"/>
  <c r="G84" i="1"/>
  <c r="G85" i="1"/>
  <c r="G86" i="1"/>
  <c r="G60" i="1"/>
  <c r="G61" i="1"/>
  <c r="G62" i="1"/>
  <c r="G63" i="1"/>
  <c r="G64" i="1"/>
  <c r="G65" i="1"/>
  <c r="G66" i="1"/>
  <c r="G67" i="1"/>
  <c r="G68" i="1"/>
  <c r="G69" i="1"/>
  <c r="G70" i="1"/>
  <c r="G71" i="1"/>
  <c r="G72" i="1"/>
  <c r="G50" i="1"/>
  <c r="G51" i="1"/>
  <c r="G52" i="1"/>
  <c r="G53" i="1"/>
  <c r="G54" i="1"/>
  <c r="G55" i="1"/>
  <c r="G56" i="1"/>
  <c r="G57" i="1"/>
  <c r="G58" i="1"/>
  <c r="G59" i="1"/>
  <c r="G36" i="1"/>
  <c r="G37" i="1"/>
  <c r="G38" i="1"/>
  <c r="G39" i="1"/>
  <c r="G40" i="1"/>
  <c r="G41" i="1"/>
  <c r="G42" i="1"/>
  <c r="G43" i="1"/>
  <c r="G44" i="1"/>
  <c r="G45" i="1"/>
  <c r="G46" i="1"/>
  <c r="G47" i="1"/>
  <c r="G48" i="1"/>
  <c r="G49" i="1"/>
  <c r="G23" i="1"/>
  <c r="G24" i="1"/>
  <c r="G25" i="1"/>
  <c r="G26" i="1"/>
  <c r="G27" i="1"/>
  <c r="G28" i="1"/>
  <c r="G29" i="1"/>
  <c r="G30" i="1"/>
  <c r="G31" i="1"/>
  <c r="G32" i="1"/>
  <c r="G33" i="1"/>
  <c r="G34" i="1"/>
  <c r="G35" i="1"/>
  <c r="G9" i="1"/>
  <c r="G10" i="1"/>
  <c r="G11" i="1"/>
  <c r="G12" i="1"/>
  <c r="G13" i="1"/>
  <c r="G14" i="1"/>
  <c r="G15" i="1"/>
  <c r="G16" i="1"/>
  <c r="G17" i="1"/>
  <c r="G18" i="1"/>
  <c r="G19" i="1"/>
  <c r="G20" i="1"/>
  <c r="G21" i="1"/>
  <c r="G22" i="1"/>
  <c r="G8" i="1"/>
  <c r="G3" i="1"/>
  <c r="G4" i="1"/>
  <c r="G5" i="1"/>
  <c r="G6" i="1"/>
  <c r="G7" i="1"/>
  <c r="G2" i="1"/>
  <c r="B3" i="5"/>
  <c r="B2" i="5"/>
  <c r="B3" i="2"/>
  <c r="O2" i="1"/>
  <c r="P2" i="1" s="1"/>
  <c r="O3" i="1"/>
  <c r="P3" i="1" s="1"/>
  <c r="O4" i="1"/>
  <c r="P4" i="1" s="1"/>
  <c r="O5" i="1"/>
  <c r="P5" i="1" s="1"/>
  <c r="O6" i="1"/>
  <c r="P6" i="1" s="1"/>
  <c r="O7" i="1"/>
  <c r="P7" i="1" s="1"/>
  <c r="O8" i="1"/>
  <c r="P8" i="1" s="1"/>
  <c r="O9" i="1"/>
  <c r="P9" i="1" s="1"/>
  <c r="O10" i="1"/>
  <c r="P10" i="1" s="1"/>
  <c r="O11" i="1"/>
  <c r="P11" i="1" s="1"/>
  <c r="O12" i="1"/>
  <c r="P12" i="1" s="1"/>
  <c r="O13" i="1"/>
  <c r="P13" i="1" s="1"/>
  <c r="O14" i="1"/>
  <c r="P14" i="1" s="1"/>
  <c r="O15" i="1"/>
  <c r="P15" i="1" s="1"/>
  <c r="O16" i="1"/>
  <c r="P16" i="1" s="1"/>
  <c r="O17" i="1"/>
  <c r="P17" i="1" s="1"/>
  <c r="O18" i="1"/>
  <c r="P18" i="1" s="1"/>
  <c r="O19" i="1"/>
  <c r="P19" i="1" s="1"/>
  <c r="O20" i="1"/>
  <c r="P20" i="1" s="1"/>
  <c r="O21" i="1"/>
  <c r="P21" i="1" s="1"/>
  <c r="O22" i="1"/>
  <c r="P22" i="1" s="1"/>
  <c r="O23" i="1"/>
  <c r="P23" i="1" s="1"/>
  <c r="O24" i="1"/>
  <c r="P24" i="1" s="1"/>
  <c r="O25" i="1"/>
  <c r="P25" i="1" s="1"/>
  <c r="O26" i="1"/>
  <c r="P26" i="1" s="1"/>
  <c r="O27" i="1"/>
  <c r="P27" i="1" s="1"/>
  <c r="O28" i="1"/>
  <c r="P28" i="1" s="1"/>
  <c r="O29" i="1"/>
  <c r="P29" i="1" s="1"/>
  <c r="O30" i="1"/>
  <c r="P30" i="1" s="1"/>
  <c r="O31" i="1"/>
  <c r="P31" i="1" s="1"/>
  <c r="O32" i="1"/>
  <c r="P32" i="1" s="1"/>
  <c r="O33" i="1"/>
  <c r="P33" i="1" s="1"/>
  <c r="O34" i="1"/>
  <c r="P34" i="1" s="1"/>
  <c r="O35" i="1"/>
  <c r="P35" i="1" s="1"/>
  <c r="O36" i="1"/>
  <c r="P36" i="1" s="1"/>
  <c r="O37" i="1"/>
  <c r="P37" i="1" s="1"/>
  <c r="O38" i="1"/>
  <c r="P38" i="1" s="1"/>
  <c r="O39" i="1"/>
  <c r="P39" i="1" s="1"/>
  <c r="O40" i="1"/>
  <c r="P40" i="1" s="1"/>
  <c r="O41" i="1"/>
  <c r="P41" i="1" s="1"/>
  <c r="O42" i="1"/>
  <c r="P42" i="1" s="1"/>
  <c r="O43" i="1"/>
  <c r="P43" i="1" s="1"/>
  <c r="O44" i="1"/>
  <c r="P44" i="1" s="1"/>
  <c r="O45" i="1"/>
  <c r="P45" i="1" s="1"/>
  <c r="O46" i="1"/>
  <c r="P46" i="1" s="1"/>
  <c r="O47" i="1"/>
  <c r="P47" i="1" s="1"/>
  <c r="O48" i="1"/>
  <c r="P48" i="1" s="1"/>
  <c r="O49" i="1"/>
  <c r="P49" i="1" s="1"/>
  <c r="O50" i="1"/>
  <c r="P50" i="1" s="1"/>
  <c r="O51" i="1"/>
  <c r="P51" i="1" s="1"/>
  <c r="O52" i="1"/>
  <c r="P52" i="1" s="1"/>
  <c r="O53" i="1"/>
  <c r="P53" i="1" s="1"/>
  <c r="O54" i="1"/>
  <c r="P54" i="1" s="1"/>
  <c r="O55" i="1"/>
  <c r="P55" i="1" s="1"/>
  <c r="O56" i="1"/>
  <c r="P56" i="1" s="1"/>
  <c r="O57" i="1"/>
  <c r="P57" i="1" s="1"/>
  <c r="O58" i="1"/>
  <c r="P58" i="1" s="1"/>
  <c r="O59" i="1"/>
  <c r="P59" i="1" s="1"/>
  <c r="O60" i="1"/>
  <c r="P60" i="1" s="1"/>
  <c r="O61" i="1"/>
  <c r="P61" i="1" s="1"/>
  <c r="O62" i="1"/>
  <c r="P62" i="1" s="1"/>
  <c r="O63" i="1"/>
  <c r="P63" i="1" s="1"/>
  <c r="O64" i="1"/>
  <c r="P64" i="1" s="1"/>
  <c r="O65" i="1"/>
  <c r="P65" i="1" s="1"/>
  <c r="O66" i="1"/>
  <c r="P66" i="1" s="1"/>
  <c r="O67" i="1"/>
  <c r="P67" i="1" s="1"/>
  <c r="O68" i="1"/>
  <c r="P68" i="1" s="1"/>
  <c r="O69" i="1"/>
  <c r="P69" i="1" s="1"/>
  <c r="O70" i="1"/>
  <c r="P70" i="1" s="1"/>
  <c r="O71" i="1"/>
  <c r="P71" i="1" s="1"/>
  <c r="O72" i="1"/>
  <c r="P72" i="1" s="1"/>
  <c r="O73" i="1"/>
  <c r="P73" i="1" s="1"/>
  <c r="O74" i="1"/>
  <c r="P74" i="1" s="1"/>
  <c r="O75" i="1"/>
  <c r="P75" i="1" s="1"/>
  <c r="O76" i="1"/>
  <c r="P76" i="1" s="1"/>
  <c r="O77" i="1"/>
  <c r="P77" i="1" s="1"/>
  <c r="O78" i="1"/>
  <c r="P78" i="1" s="1"/>
  <c r="O79" i="1"/>
  <c r="P79" i="1" s="1"/>
  <c r="O80" i="1"/>
  <c r="P80" i="1" s="1"/>
  <c r="O81" i="1"/>
  <c r="P81" i="1" s="1"/>
  <c r="O82" i="1"/>
  <c r="P82" i="1" s="1"/>
  <c r="O83" i="1"/>
  <c r="P83" i="1" s="1"/>
  <c r="O84" i="1"/>
  <c r="P84" i="1" s="1"/>
  <c r="O85" i="1"/>
  <c r="P85" i="1" s="1"/>
  <c r="O86" i="1"/>
  <c r="P86" i="1" s="1"/>
  <c r="O87" i="1"/>
  <c r="P87" i="1" s="1"/>
  <c r="O88" i="1"/>
  <c r="P88" i="1" s="1"/>
  <c r="O89" i="1"/>
  <c r="P89" i="1" s="1"/>
  <c r="O90" i="1"/>
  <c r="P90" i="1" s="1"/>
  <c r="O91" i="1"/>
  <c r="P91" i="1" s="1"/>
  <c r="O92" i="1"/>
  <c r="P92" i="1" s="1"/>
  <c r="O93" i="1"/>
  <c r="P93" i="1" s="1"/>
  <c r="O94" i="1"/>
  <c r="P94" i="1" s="1"/>
  <c r="O95" i="1"/>
  <c r="P95" i="1" s="1"/>
  <c r="O96" i="1"/>
  <c r="P96" i="1" s="1"/>
  <c r="O97" i="1"/>
  <c r="P97" i="1" s="1"/>
  <c r="O98" i="1"/>
  <c r="P98" i="1" s="1"/>
  <c r="O99" i="1"/>
  <c r="P99" i="1" s="1"/>
  <c r="O100" i="1"/>
  <c r="P100" i="1" s="1"/>
  <c r="O101" i="1"/>
  <c r="P101" i="1" s="1"/>
  <c r="O102" i="1"/>
  <c r="P102" i="1" s="1"/>
  <c r="O103" i="1"/>
  <c r="P103" i="1" s="1"/>
  <c r="O104" i="1"/>
  <c r="P104" i="1" s="1"/>
  <c r="O105" i="1"/>
  <c r="P105" i="1" s="1"/>
  <c r="O106" i="1"/>
  <c r="P106" i="1" s="1"/>
  <c r="O107" i="1"/>
  <c r="P107" i="1" s="1"/>
  <c r="O108" i="1"/>
  <c r="P108" i="1" s="1"/>
  <c r="O109" i="1"/>
  <c r="P109" i="1" s="1"/>
  <c r="O110" i="1"/>
  <c r="P110" i="1" s="1"/>
  <c r="O111" i="1"/>
  <c r="P111" i="1" s="1"/>
  <c r="O112" i="1"/>
  <c r="P112" i="1" s="1"/>
  <c r="L2" i="1"/>
  <c r="L3" i="1"/>
  <c r="L5" i="1"/>
  <c r="L9" i="1"/>
  <c r="L11" i="1"/>
  <c r="L12" i="1"/>
  <c r="L13" i="1"/>
  <c r="L14" i="1"/>
  <c r="L15" i="1"/>
  <c r="L17" i="1"/>
  <c r="L19" i="1"/>
  <c r="L20" i="1"/>
  <c r="L24" i="1"/>
  <c r="L25" i="1"/>
  <c r="L27" i="1"/>
  <c r="L28" i="1"/>
  <c r="L29" i="1"/>
  <c r="L30" i="1"/>
  <c r="L34" i="1"/>
  <c r="L35" i="1"/>
  <c r="L36" i="1"/>
  <c r="L38" i="1"/>
  <c r="L39" i="1"/>
  <c r="L41" i="1"/>
  <c r="L43" i="1"/>
  <c r="L44" i="1"/>
  <c r="L45" i="1"/>
  <c r="L46" i="1"/>
  <c r="L50" i="1"/>
  <c r="L51" i="1"/>
  <c r="L52" i="1"/>
  <c r="L54" i="1"/>
  <c r="L56" i="1"/>
  <c r="L58" i="1"/>
  <c r="L59" i="1"/>
  <c r="L60" i="1"/>
  <c r="L61" i="1"/>
  <c r="L65" i="1"/>
  <c r="L66" i="1"/>
  <c r="L67" i="1"/>
  <c r="L68" i="1"/>
  <c r="L70" i="1"/>
  <c r="L72" i="1"/>
  <c r="L76" i="1"/>
  <c r="L77" i="1"/>
  <c r="L78" i="1"/>
  <c r="L79" i="1"/>
  <c r="L80" i="1"/>
  <c r="L81" i="1"/>
  <c r="L82" i="1"/>
  <c r="L83" i="1"/>
  <c r="L84" i="1"/>
  <c r="L85" i="1"/>
  <c r="L86" i="1"/>
  <c r="L87" i="1"/>
  <c r="L88" i="1"/>
  <c r="L91" i="1"/>
  <c r="L92" i="1"/>
  <c r="L93" i="1"/>
  <c r="L94" i="1"/>
  <c r="L95" i="1"/>
  <c r="L96" i="1"/>
  <c r="L97" i="1"/>
  <c r="L98" i="1"/>
  <c r="L100" i="1"/>
  <c r="L102" i="1"/>
  <c r="L103" i="1"/>
  <c r="L105" i="1"/>
  <c r="L107" i="1"/>
  <c r="L108" i="1"/>
  <c r="L109" i="1"/>
  <c r="L112" i="1"/>
  <c r="K2" i="1"/>
  <c r="K3" i="1"/>
  <c r="K4" i="1"/>
  <c r="L4" i="1" s="1"/>
  <c r="K5" i="1"/>
  <c r="K6" i="1"/>
  <c r="L6" i="1" s="1"/>
  <c r="K7" i="1"/>
  <c r="L7" i="1" s="1"/>
  <c r="K8" i="1"/>
  <c r="L8" i="1" s="1"/>
  <c r="K9" i="1"/>
  <c r="K10" i="1"/>
  <c r="L10" i="1" s="1"/>
  <c r="K11" i="1"/>
  <c r="K12" i="1"/>
  <c r="K13" i="1"/>
  <c r="K14" i="1"/>
  <c r="K15" i="1"/>
  <c r="K16" i="1"/>
  <c r="L16" i="1" s="1"/>
  <c r="K17" i="1"/>
  <c r="K18" i="1"/>
  <c r="L18" i="1" s="1"/>
  <c r="K19" i="1"/>
  <c r="K20" i="1"/>
  <c r="K21" i="1"/>
  <c r="L21" i="1" s="1"/>
  <c r="K22" i="1"/>
  <c r="L22" i="1" s="1"/>
  <c r="K23" i="1"/>
  <c r="L23" i="1" s="1"/>
  <c r="K24" i="1"/>
  <c r="K25" i="1"/>
  <c r="K26" i="1"/>
  <c r="L26" i="1" s="1"/>
  <c r="K27" i="1"/>
  <c r="K28" i="1"/>
  <c r="K29" i="1"/>
  <c r="K30" i="1"/>
  <c r="K31" i="1"/>
  <c r="L31" i="1" s="1"/>
  <c r="K32" i="1"/>
  <c r="L32" i="1" s="1"/>
  <c r="K33" i="1"/>
  <c r="L33" i="1" s="1"/>
  <c r="K34" i="1"/>
  <c r="K35" i="1"/>
  <c r="K36" i="1"/>
  <c r="K37" i="1"/>
  <c r="L37" i="1" s="1"/>
  <c r="K38" i="1"/>
  <c r="K39" i="1"/>
  <c r="K40" i="1"/>
  <c r="L40" i="1" s="1"/>
  <c r="K41" i="1"/>
  <c r="K42" i="1"/>
  <c r="L42" i="1" s="1"/>
  <c r="K43" i="1"/>
  <c r="K44" i="1"/>
  <c r="K45" i="1"/>
  <c r="K46" i="1"/>
  <c r="K47" i="1"/>
  <c r="L47" i="1" s="1"/>
  <c r="K48" i="1"/>
  <c r="L48" i="1" s="1"/>
  <c r="K49" i="1"/>
  <c r="L49" i="1" s="1"/>
  <c r="K50" i="1"/>
  <c r="K51" i="1"/>
  <c r="K52" i="1"/>
  <c r="K53" i="1"/>
  <c r="L53" i="1" s="1"/>
  <c r="K54" i="1"/>
  <c r="K55" i="1"/>
  <c r="L55" i="1" s="1"/>
  <c r="K56" i="1"/>
  <c r="K57" i="1"/>
  <c r="L57" i="1" s="1"/>
  <c r="K58" i="1"/>
  <c r="K59" i="1"/>
  <c r="K60" i="1"/>
  <c r="K61" i="1"/>
  <c r="K62" i="1"/>
  <c r="L62" i="1" s="1"/>
  <c r="K63" i="1"/>
  <c r="L63" i="1" s="1"/>
  <c r="K64" i="1"/>
  <c r="L64" i="1" s="1"/>
  <c r="K65" i="1"/>
  <c r="K66" i="1"/>
  <c r="K67" i="1"/>
  <c r="K68" i="1"/>
  <c r="K69" i="1"/>
  <c r="L69" i="1" s="1"/>
  <c r="K70" i="1"/>
  <c r="K71" i="1"/>
  <c r="L71" i="1" s="1"/>
  <c r="K72" i="1"/>
  <c r="K73" i="1"/>
  <c r="L73" i="1" s="1"/>
  <c r="K74" i="1"/>
  <c r="L74" i="1" s="1"/>
  <c r="K75" i="1"/>
  <c r="L75" i="1" s="1"/>
  <c r="K76" i="1"/>
  <c r="K77" i="1"/>
  <c r="K78" i="1"/>
  <c r="K79" i="1"/>
  <c r="K80" i="1"/>
  <c r="K81" i="1"/>
  <c r="K82" i="1"/>
  <c r="K83" i="1"/>
  <c r="K84" i="1"/>
  <c r="K85" i="1"/>
  <c r="K86" i="1"/>
  <c r="K87" i="1"/>
  <c r="K88" i="1"/>
  <c r="K89" i="1"/>
  <c r="L89" i="1" s="1"/>
  <c r="K90" i="1"/>
  <c r="L90" i="1" s="1"/>
  <c r="K91" i="1"/>
  <c r="K92" i="1"/>
  <c r="K93" i="1"/>
  <c r="K94" i="1"/>
  <c r="K95" i="1"/>
  <c r="K96" i="1"/>
  <c r="K97" i="1"/>
  <c r="K98" i="1"/>
  <c r="K99" i="1"/>
  <c r="L99" i="1" s="1"/>
  <c r="K100" i="1"/>
  <c r="K101" i="1"/>
  <c r="L101" i="1" s="1"/>
  <c r="K102" i="1"/>
  <c r="K103" i="1"/>
  <c r="K104" i="1"/>
  <c r="L104" i="1" s="1"/>
  <c r="K105" i="1"/>
  <c r="K106" i="1"/>
  <c r="L106" i="1" s="1"/>
  <c r="K107" i="1"/>
  <c r="K108" i="1"/>
  <c r="K109" i="1"/>
  <c r="K110" i="1"/>
  <c r="L110" i="1" s="1"/>
  <c r="K111" i="1"/>
  <c r="L111" i="1" s="1"/>
  <c r="K112" i="1"/>
  <c r="B51" i="11" l="1"/>
  <c r="B52" i="11"/>
  <c r="DA2" i="11"/>
  <c r="CS2" i="11"/>
  <c r="CS3" i="11" s="1"/>
  <c r="CN4" i="12" s="1"/>
  <c r="CK2" i="11"/>
  <c r="CK3" i="11" s="1"/>
  <c r="CF4" i="12" s="1"/>
  <c r="CC2" i="11"/>
  <c r="CC3" i="11" s="1"/>
  <c r="BX4" i="12" s="1"/>
  <c r="BU2" i="11"/>
  <c r="BU3" i="11" s="1"/>
  <c r="BP4" i="12" s="1"/>
  <c r="BM2" i="11"/>
  <c r="BM3" i="11" s="1"/>
  <c r="BH4" i="12" s="1"/>
  <c r="BE2" i="11"/>
  <c r="AW2" i="11"/>
  <c r="AW3" i="11" s="1"/>
  <c r="AR4" i="12" s="1"/>
  <c r="AO2" i="11"/>
  <c r="AG2" i="11"/>
  <c r="AG3" i="11" s="1"/>
  <c r="AB4" i="12" s="1"/>
  <c r="Y2" i="11"/>
  <c r="Y3" i="11" s="1"/>
  <c r="T4" i="12" s="1"/>
  <c r="Q2" i="11"/>
  <c r="Q3" i="11" s="1"/>
  <c r="L4" i="12" s="1"/>
  <c r="CZ2" i="11"/>
  <c r="CZ3" i="11" s="1"/>
  <c r="CU4" i="12" s="1"/>
  <c r="CR2" i="11"/>
  <c r="CR3" i="11" s="1"/>
  <c r="CM4" i="12" s="1"/>
  <c r="CJ2" i="11"/>
  <c r="CJ3" i="11" s="1"/>
  <c r="CE4" i="12" s="1"/>
  <c r="CB2" i="11"/>
  <c r="CB3" i="11" s="1"/>
  <c r="BW4" i="12" s="1"/>
  <c r="BT2" i="11"/>
  <c r="BL2" i="11"/>
  <c r="BL3" i="11" s="1"/>
  <c r="BG4" i="12" s="1"/>
  <c r="BD2" i="11"/>
  <c r="BD3" i="11" s="1"/>
  <c r="AY4" i="12" s="1"/>
  <c r="AV2" i="11"/>
  <c r="AV3" i="11" s="1"/>
  <c r="AQ4" i="12" s="1"/>
  <c r="AN2" i="11"/>
  <c r="AN3" i="11" s="1"/>
  <c r="AI4" i="12" s="1"/>
  <c r="AF2" i="11"/>
  <c r="AF3" i="11" s="1"/>
  <c r="AA4" i="12" s="1"/>
  <c r="X2" i="11"/>
  <c r="X3" i="11" s="1"/>
  <c r="S4" i="12" s="1"/>
  <c r="P2" i="11"/>
  <c r="P3" i="11" s="1"/>
  <c r="K4" i="12" s="1"/>
  <c r="CY2" i="11"/>
  <c r="CQ2" i="11"/>
  <c r="CQ3" i="11" s="1"/>
  <c r="CL4" i="12" s="1"/>
  <c r="CI2" i="11"/>
  <c r="CI3" i="11" s="1"/>
  <c r="CD4" i="12" s="1"/>
  <c r="CA2" i="11"/>
  <c r="CA3" i="11" s="1"/>
  <c r="BV4" i="12" s="1"/>
  <c r="BS2" i="11"/>
  <c r="BS3" i="11" s="1"/>
  <c r="BN4" i="12" s="1"/>
  <c r="BK2" i="11"/>
  <c r="BK3" i="11" s="1"/>
  <c r="BF4" i="12" s="1"/>
  <c r="BC2" i="11"/>
  <c r="BC3" i="11" s="1"/>
  <c r="AX4" i="12" s="1"/>
  <c r="AU2" i="11"/>
  <c r="AU3" i="11" s="1"/>
  <c r="AP4" i="12" s="1"/>
  <c r="AM2" i="11"/>
  <c r="AE2" i="11"/>
  <c r="AE3" i="11" s="1"/>
  <c r="Z4" i="12" s="1"/>
  <c r="W2" i="11"/>
  <c r="W3" i="11" s="1"/>
  <c r="R4" i="12" s="1"/>
  <c r="O2" i="11"/>
  <c r="O3" i="11" s="1"/>
  <c r="J4" i="12" s="1"/>
  <c r="G2" i="11"/>
  <c r="G3" i="11" s="1"/>
  <c r="B4" i="12" s="1"/>
  <c r="CX2" i="11"/>
  <c r="CX3" i="11" s="1"/>
  <c r="CS4" i="12" s="1"/>
  <c r="CP2" i="11"/>
  <c r="CP3" i="11" s="1"/>
  <c r="CK4" i="12" s="1"/>
  <c r="CH2" i="11"/>
  <c r="CH3" i="11" s="1"/>
  <c r="CC4" i="12" s="1"/>
  <c r="BZ2" i="11"/>
  <c r="BZ3" i="11" s="1"/>
  <c r="BU4" i="12" s="1"/>
  <c r="BR2" i="11"/>
  <c r="BR3" i="11" s="1"/>
  <c r="BM4" i="12" s="1"/>
  <c r="BJ2" i="11"/>
  <c r="BJ3" i="11" s="1"/>
  <c r="BE4" i="12" s="1"/>
  <c r="BB2" i="11"/>
  <c r="BB3" i="11" s="1"/>
  <c r="AW4" i="12" s="1"/>
  <c r="AT2" i="11"/>
  <c r="AT3" i="11" s="1"/>
  <c r="AO4" i="12" s="1"/>
  <c r="AL2" i="11"/>
  <c r="AL3" i="11" s="1"/>
  <c r="AG4" i="12" s="1"/>
  <c r="AD2" i="11"/>
  <c r="AD3" i="11" s="1"/>
  <c r="Y4" i="12" s="1"/>
  <c r="V2" i="11"/>
  <c r="V3" i="11" s="1"/>
  <c r="Q4" i="12" s="1"/>
  <c r="N2" i="11"/>
  <c r="N3" i="11" s="1"/>
  <c r="I4" i="12" s="1"/>
  <c r="J2" i="11"/>
  <c r="J3" i="11" s="1"/>
  <c r="E4" i="12" s="1"/>
  <c r="CW2" i="11"/>
  <c r="CW3" i="11" s="1"/>
  <c r="CR4" i="12" s="1"/>
  <c r="CO2" i="11"/>
  <c r="CO3" i="11" s="1"/>
  <c r="CJ4" i="12" s="1"/>
  <c r="CG2" i="11"/>
  <c r="CG3" i="11" s="1"/>
  <c r="CB4" i="12" s="1"/>
  <c r="BY2" i="11"/>
  <c r="BY3" i="11" s="1"/>
  <c r="BT4" i="12" s="1"/>
  <c r="BQ2" i="11"/>
  <c r="BQ3" i="11" s="1"/>
  <c r="BL4" i="12" s="1"/>
  <c r="BI2" i="11"/>
  <c r="BI3" i="11" s="1"/>
  <c r="BD4" i="12" s="1"/>
  <c r="BA2" i="11"/>
  <c r="BA3" i="11" s="1"/>
  <c r="AV4" i="12" s="1"/>
  <c r="AS2" i="11"/>
  <c r="AS3" i="11" s="1"/>
  <c r="AN4" i="12" s="1"/>
  <c r="AK2" i="11"/>
  <c r="AK3" i="11" s="1"/>
  <c r="AF4" i="12" s="1"/>
  <c r="AC2" i="11"/>
  <c r="AC3" i="11" s="1"/>
  <c r="X4" i="12" s="1"/>
  <c r="U2" i="11"/>
  <c r="U3" i="11" s="1"/>
  <c r="P4" i="12" s="1"/>
  <c r="M2" i="11"/>
  <c r="M3" i="11" s="1"/>
  <c r="H4" i="12" s="1"/>
  <c r="I2" i="11"/>
  <c r="I3" i="11" s="1"/>
  <c r="D4" i="12" s="1"/>
  <c r="CV2" i="11"/>
  <c r="CV3" i="11" s="1"/>
  <c r="CQ4" i="12" s="1"/>
  <c r="CN2" i="11"/>
  <c r="CN3" i="11" s="1"/>
  <c r="CI4" i="12" s="1"/>
  <c r="CF2" i="11"/>
  <c r="CF3" i="11" s="1"/>
  <c r="CA4" i="12" s="1"/>
  <c r="BX2" i="11"/>
  <c r="BX3" i="11" s="1"/>
  <c r="BS4" i="12" s="1"/>
  <c r="BP2" i="11"/>
  <c r="BP3" i="11" s="1"/>
  <c r="BK4" i="12" s="1"/>
  <c r="BH2" i="11"/>
  <c r="BH3" i="11" s="1"/>
  <c r="BC4" i="12" s="1"/>
  <c r="AZ2" i="11"/>
  <c r="AZ3" i="11" s="1"/>
  <c r="AU4" i="12" s="1"/>
  <c r="AR2" i="11"/>
  <c r="AR3" i="11" s="1"/>
  <c r="AM4" i="12" s="1"/>
  <c r="AJ2" i="11"/>
  <c r="AJ3" i="11" s="1"/>
  <c r="AE4" i="12" s="1"/>
  <c r="AB2" i="11"/>
  <c r="AB3" i="11" s="1"/>
  <c r="W4" i="12" s="1"/>
  <c r="T2" i="11"/>
  <c r="T3" i="11" s="1"/>
  <c r="O4" i="12" s="1"/>
  <c r="L2" i="11"/>
  <c r="L3" i="11" s="1"/>
  <c r="G4" i="12" s="1"/>
  <c r="H2" i="11"/>
  <c r="H3" i="11" s="1"/>
  <c r="C4" i="12" s="1"/>
  <c r="CU2" i="11"/>
  <c r="CU3" i="11" s="1"/>
  <c r="CP4" i="12" s="1"/>
  <c r="CM2" i="11"/>
  <c r="CM3" i="11" s="1"/>
  <c r="CH4" i="12" s="1"/>
  <c r="CE2" i="11"/>
  <c r="CE3" i="11" s="1"/>
  <c r="BZ4" i="12" s="1"/>
  <c r="BW2" i="11"/>
  <c r="BW3" i="11" s="1"/>
  <c r="BR4" i="12" s="1"/>
  <c r="BO2" i="11"/>
  <c r="BO3" i="11" s="1"/>
  <c r="BJ4" i="12" s="1"/>
  <c r="BG2" i="11"/>
  <c r="BG3" i="11" s="1"/>
  <c r="BB4" i="12" s="1"/>
  <c r="AY2" i="11"/>
  <c r="AY3" i="11" s="1"/>
  <c r="AT4" i="12" s="1"/>
  <c r="AQ2" i="11"/>
  <c r="AQ3" i="11" s="1"/>
  <c r="AL4" i="12" s="1"/>
  <c r="AI2" i="11"/>
  <c r="AI3" i="11" s="1"/>
  <c r="AD4" i="12" s="1"/>
  <c r="AA2" i="11"/>
  <c r="AA3" i="11" s="1"/>
  <c r="V4" i="12" s="1"/>
  <c r="S2" i="11"/>
  <c r="S3" i="11" s="1"/>
  <c r="N4" i="12" s="1"/>
  <c r="K2" i="11"/>
  <c r="K3" i="11" s="1"/>
  <c r="F4" i="12" s="1"/>
  <c r="DB2" i="11"/>
  <c r="DB3" i="11" s="1"/>
  <c r="CW4" i="12" s="1"/>
  <c r="CT2" i="11"/>
  <c r="CT3" i="11" s="1"/>
  <c r="CO4" i="12" s="1"/>
  <c r="CL2" i="11"/>
  <c r="CL3" i="11" s="1"/>
  <c r="CG4" i="12" s="1"/>
  <c r="CD2" i="11"/>
  <c r="CD3" i="11" s="1"/>
  <c r="BY4" i="12" s="1"/>
  <c r="BV2" i="11"/>
  <c r="BV3" i="11" s="1"/>
  <c r="BQ4" i="12" s="1"/>
  <c r="BN2" i="11"/>
  <c r="BN3" i="11" s="1"/>
  <c r="BI4" i="12" s="1"/>
  <c r="BF2" i="11"/>
  <c r="BF3" i="11" s="1"/>
  <c r="BA4" i="12" s="1"/>
  <c r="AX2" i="11"/>
  <c r="AX3" i="11" s="1"/>
  <c r="AS4" i="12" s="1"/>
  <c r="AP2" i="11"/>
  <c r="AP3" i="11" s="1"/>
  <c r="AK4" i="12" s="1"/>
  <c r="AH2" i="11"/>
  <c r="AH3" i="11" s="1"/>
  <c r="AC4" i="12" s="1"/>
  <c r="Z2" i="11"/>
  <c r="Z3" i="11" s="1"/>
  <c r="U4" i="12" s="1"/>
  <c r="M211" i="10"/>
  <c r="E582" i="10"/>
  <c r="E581" i="10" s="1"/>
  <c r="B6" i="5"/>
  <c r="B7" i="5"/>
  <c r="E2" i="3" a="1"/>
  <c r="E2" i="3" s="1"/>
  <c r="F2" i="3" a="1"/>
  <c r="F2" i="3" s="1"/>
  <c r="G2" i="3" a="1"/>
  <c r="G2" i="3" s="1"/>
  <c r="H2" i="3" a="1"/>
  <c r="H2" i="3" s="1"/>
  <c r="A2" i="3" a="1"/>
  <c r="A2" i="3" s="1"/>
  <c r="I2" i="3" a="1"/>
  <c r="I2" i="3" s="1"/>
  <c r="B2" i="3" a="1"/>
  <c r="B2" i="3" s="1"/>
  <c r="J2" i="3" a="1"/>
  <c r="J2" i="3" s="1"/>
  <c r="B5" i="2"/>
  <c r="B9" i="2"/>
  <c r="B8" i="2"/>
  <c r="C2" i="3" a="1"/>
  <c r="C2" i="3" s="1"/>
  <c r="K2" i="3" a="1"/>
  <c r="K2" i="3" s="1"/>
  <c r="B6" i="2"/>
  <c r="B4" i="2"/>
  <c r="B7" i="2"/>
  <c r="D2" i="3" a="1"/>
  <c r="D2" i="3" s="1"/>
  <c r="L2" i="3" a="1"/>
  <c r="L2" i="3" s="1"/>
  <c r="B11" i="2"/>
  <c r="B10" i="2"/>
  <c r="M210" i="10"/>
  <c r="M209" i="10" s="1"/>
  <c r="M208" i="10" s="1"/>
  <c r="M207" i="10" s="1"/>
  <c r="M206" i="10" s="1"/>
  <c r="M205" i="10" s="1"/>
  <c r="M204" i="10" s="1"/>
  <c r="M203" i="10" s="1"/>
  <c r="M202" i="10" s="1"/>
  <c r="M201" i="10" s="1"/>
  <c r="M200" i="10" s="1"/>
  <c r="M199" i="10" s="1"/>
  <c r="M198" i="10" s="1"/>
  <c r="M197" i="10" s="1"/>
  <c r="M196" i="10" s="1"/>
  <c r="M195" i="10" s="1"/>
  <c r="M194" i="10" s="1"/>
  <c r="M193" i="10" s="1"/>
  <c r="M192" i="10" s="1"/>
  <c r="M191" i="10" s="1"/>
  <c r="M190" i="10" s="1"/>
  <c r="M189" i="10" s="1"/>
  <c r="M188" i="10" s="1"/>
  <c r="M187" i="10" s="1"/>
  <c r="M186" i="10" s="1"/>
  <c r="M185" i="10" s="1"/>
  <c r="M184" i="10" s="1"/>
  <c r="M183" i="10" s="1"/>
  <c r="M182" i="10" s="1"/>
  <c r="M181" i="10" s="1"/>
  <c r="M180" i="10" s="1"/>
  <c r="M179" i="10" s="1"/>
  <c r="M178" i="10" s="1"/>
  <c r="M177" i="10" s="1"/>
  <c r="M176" i="10" s="1"/>
  <c r="M175" i="10" s="1"/>
  <c r="M174" i="10" s="1"/>
  <c r="M173" i="10" s="1"/>
  <c r="M172" i="10" s="1"/>
  <c r="M171" i="10" s="1"/>
  <c r="M170" i="10" s="1"/>
  <c r="M169" i="10" s="1"/>
  <c r="M168" i="10" s="1"/>
  <c r="M167" i="10" s="1"/>
  <c r="M166" i="10" s="1"/>
  <c r="M165" i="10" s="1"/>
  <c r="M164" i="10" s="1"/>
  <c r="M163" i="10" s="1"/>
  <c r="M162" i="10" s="1"/>
  <c r="M161" i="10" s="1"/>
  <c r="M160" i="10" s="1"/>
  <c r="M159" i="10" s="1"/>
  <c r="M158" i="10" s="1"/>
  <c r="M157" i="10" s="1"/>
  <c r="M156" i="10" s="1"/>
  <c r="M155" i="10" s="1"/>
  <c r="M154" i="10" s="1"/>
  <c r="M153" i="10" s="1"/>
  <c r="M152" i="10" s="1"/>
  <c r="M151" i="10" s="1"/>
  <c r="M150" i="10" s="1"/>
  <c r="M149" i="10" s="1"/>
  <c r="M148" i="10" s="1"/>
  <c r="M147" i="10" s="1"/>
  <c r="M146" i="10" s="1"/>
  <c r="M145" i="10" s="1"/>
  <c r="M144" i="10" s="1"/>
  <c r="M143" i="10" s="1"/>
  <c r="M142" i="10" s="1"/>
  <c r="M141" i="10" s="1"/>
  <c r="M140" i="10" s="1"/>
  <c r="M139" i="10" s="1"/>
  <c r="M138" i="10" s="1"/>
  <c r="M137" i="10" s="1"/>
  <c r="M136" i="10" s="1"/>
  <c r="M135" i="10" s="1"/>
  <c r="M134" i="10" s="1"/>
  <c r="M133" i="10" s="1"/>
  <c r="M132" i="10" s="1"/>
  <c r="M131" i="10" s="1"/>
  <c r="M130" i="10" s="1"/>
  <c r="M129" i="10" s="1"/>
  <c r="M128" i="10" s="1"/>
  <c r="M127" i="10" s="1"/>
  <c r="M126" i="10" s="1"/>
  <c r="M125" i="10" s="1"/>
  <c r="M124" i="10" s="1"/>
  <c r="M123" i="10" s="1"/>
  <c r="M122" i="10" s="1"/>
  <c r="M121" i="10" s="1"/>
  <c r="M120" i="10" s="1"/>
  <c r="M119" i="10" s="1"/>
  <c r="M118" i="10" s="1"/>
  <c r="M117" i="10" s="1"/>
  <c r="M116" i="10" s="1"/>
  <c r="M115" i="10" s="1"/>
  <c r="M114" i="10" s="1"/>
  <c r="M113" i="10" s="1"/>
  <c r="M112" i="10" s="1"/>
  <c r="M111" i="10" s="1"/>
  <c r="M110" i="10" s="1"/>
  <c r="M109" i="10" s="1"/>
  <c r="M108" i="10" s="1"/>
  <c r="M107" i="10" s="1"/>
  <c r="M106" i="10" s="1"/>
  <c r="M105" i="10" s="1"/>
  <c r="M104" i="10" s="1"/>
  <c r="M103" i="10" s="1"/>
  <c r="M102" i="10" s="1"/>
  <c r="M101" i="10" s="1"/>
  <c r="M100" i="10" s="1"/>
  <c r="M99" i="10" s="1"/>
  <c r="M98" i="10" s="1"/>
  <c r="M97" i="10" s="1"/>
  <c r="M96" i="10" s="1"/>
  <c r="M95" i="10" s="1"/>
  <c r="M94" i="10" s="1"/>
  <c r="M93" i="10" s="1"/>
  <c r="M92" i="10" s="1"/>
  <c r="M91" i="10" s="1"/>
  <c r="M90" i="10" s="1"/>
  <c r="M89" i="10" s="1"/>
  <c r="M88" i="10" s="1"/>
  <c r="M87" i="10" s="1"/>
  <c r="M86" i="10" s="1"/>
  <c r="M85" i="10" s="1"/>
  <c r="M84" i="10" s="1"/>
  <c r="M83" i="10" s="1"/>
  <c r="M82" i="10" s="1"/>
  <c r="M81" i="10" s="1"/>
  <c r="M80" i="10" s="1"/>
  <c r="M79" i="10" s="1"/>
  <c r="M78" i="10" s="1"/>
  <c r="M77" i="10" s="1"/>
  <c r="M76" i="10" s="1"/>
  <c r="M75" i="10" s="1"/>
  <c r="M74" i="10" s="1"/>
  <c r="M73" i="10" s="1"/>
  <c r="M72" i="10" s="1"/>
  <c r="M71" i="10" s="1"/>
  <c r="M70" i="10" s="1"/>
  <c r="M69" i="10" s="1"/>
  <c r="M68" i="10" s="1"/>
  <c r="M67" i="10" s="1"/>
  <c r="M66" i="10" s="1"/>
  <c r="M65" i="10" s="1"/>
  <c r="M64" i="10" s="1"/>
  <c r="M63" i="10" s="1"/>
  <c r="M62" i="10" s="1"/>
  <c r="M61" i="10" s="1"/>
  <c r="M60" i="10" s="1"/>
  <c r="M59" i="10" s="1"/>
  <c r="M58" i="10" s="1"/>
  <c r="M57" i="10" s="1"/>
  <c r="M56" i="10" s="1"/>
  <c r="M55" i="10" s="1"/>
  <c r="M54" i="10" s="1"/>
  <c r="M53" i="10" s="1"/>
  <c r="M52" i="10" s="1"/>
  <c r="M51" i="10" s="1"/>
  <c r="M50" i="10" s="1"/>
  <c r="M49" i="10" s="1"/>
  <c r="M48" i="10" s="1"/>
  <c r="M47" i="10" s="1"/>
  <c r="M46" i="10" s="1"/>
  <c r="M45" i="10" s="1"/>
  <c r="M44" i="10" s="1"/>
  <c r="M43" i="10" s="1"/>
  <c r="M42" i="10" s="1"/>
  <c r="M41" i="10" s="1"/>
  <c r="M40" i="10" s="1"/>
  <c r="M39" i="10" s="1"/>
  <c r="M38" i="10" s="1"/>
  <c r="M37" i="10" s="1"/>
  <c r="M36" i="10" s="1"/>
  <c r="M35" i="10" s="1"/>
  <c r="M34" i="10" s="1"/>
  <c r="M33" i="10" s="1"/>
  <c r="M32" i="10" s="1"/>
  <c r="M31" i="10" s="1"/>
  <c r="M30" i="10" s="1"/>
  <c r="M29" i="10" s="1"/>
  <c r="M28" i="10" s="1"/>
  <c r="M27" i="10" s="1"/>
  <c r="M26" i="10" s="1"/>
  <c r="M25" i="10" s="1"/>
  <c r="M24" i="10" s="1"/>
  <c r="M23" i="10" s="1"/>
  <c r="M22" i="10" s="1"/>
  <c r="M21" i="10" s="1"/>
  <c r="M20" i="10" s="1"/>
  <c r="M19" i="10" s="1"/>
  <c r="M18" i="10" s="1"/>
  <c r="M17" i="10" s="1"/>
  <c r="M16" i="10" s="1"/>
  <c r="M15" i="10" s="1"/>
  <c r="M14" i="10" s="1"/>
  <c r="M13" i="10" s="1"/>
  <c r="M12" i="10" s="1"/>
  <c r="M11" i="10" s="1"/>
  <c r="M10" i="10" s="1"/>
  <c r="M9" i="10" s="1"/>
  <c r="M8" i="10" s="1"/>
  <c r="M7" i="10" s="1"/>
  <c r="M6" i="10" s="1"/>
  <c r="M5" i="10" s="1"/>
  <c r="M4" i="10" s="1"/>
  <c r="M3" i="10" s="1"/>
  <c r="M2" i="10" s="1"/>
  <c r="CL4" i="11" l="1"/>
  <c r="CG5" i="12" s="1"/>
  <c r="BX4" i="11"/>
  <c r="BS5" i="12" s="1"/>
  <c r="BJ4" i="11"/>
  <c r="BE5" i="12" s="1"/>
  <c r="BD4" i="11"/>
  <c r="AY5" i="12" s="1"/>
  <c r="T4" i="11"/>
  <c r="O5" i="12" s="1"/>
  <c r="BN4" i="11"/>
  <c r="BI5" i="12" s="1"/>
  <c r="AA4" i="11"/>
  <c r="V5" i="12" s="1"/>
  <c r="CM4" i="11"/>
  <c r="CH5" i="12" s="1"/>
  <c r="AZ4" i="11"/>
  <c r="AU5" i="12" s="1"/>
  <c r="BY4" i="11"/>
  <c r="BT5" i="12" s="1"/>
  <c r="AL4" i="11"/>
  <c r="AG5" i="12" s="1"/>
  <c r="CX4" i="11"/>
  <c r="CS5" i="12" s="1"/>
  <c r="BK4" i="11"/>
  <c r="BF5" i="12" s="1"/>
  <c r="AF4" i="11"/>
  <c r="AA5" i="12" s="1"/>
  <c r="CR4" i="11"/>
  <c r="CM5" i="12" s="1"/>
  <c r="BM4" i="11"/>
  <c r="BH5" i="12" s="1"/>
  <c r="BU4" i="11"/>
  <c r="BP5" i="12" s="1"/>
  <c r="CC4" i="11"/>
  <c r="BX5" i="12" s="1"/>
  <c r="CK4" i="11"/>
  <c r="CF5" i="12" s="1"/>
  <c r="CS4" i="11"/>
  <c r="CN5" i="12" s="1"/>
  <c r="AI4" i="11"/>
  <c r="AD5" i="12" s="1"/>
  <c r="BH4" i="11"/>
  <c r="BC5" i="12" s="1"/>
  <c r="U4" i="11"/>
  <c r="P5" i="12" s="1"/>
  <c r="AT4" i="11"/>
  <c r="AO5" i="12" s="1"/>
  <c r="AQ4" i="11"/>
  <c r="AL5" i="12" s="1"/>
  <c r="BP4" i="11"/>
  <c r="BK5" i="12" s="1"/>
  <c r="CO4" i="11"/>
  <c r="CJ5" i="12" s="1"/>
  <c r="CA4" i="11"/>
  <c r="BV5" i="12" s="1"/>
  <c r="Q4" i="11"/>
  <c r="L5" i="12" s="1"/>
  <c r="AY4" i="11"/>
  <c r="AT5" i="12" s="1"/>
  <c r="AK4" i="11"/>
  <c r="AF5" i="12" s="1"/>
  <c r="W4" i="11"/>
  <c r="R5" i="12" s="1"/>
  <c r="Y4" i="11"/>
  <c r="T5" i="12" s="1"/>
  <c r="CT4" i="11"/>
  <c r="CO5" i="12" s="1"/>
  <c r="CF4" i="11"/>
  <c r="CA5" i="12" s="1"/>
  <c r="BR4" i="11"/>
  <c r="BM5" i="12" s="1"/>
  <c r="BL4" i="11"/>
  <c r="BG5" i="12" s="1"/>
  <c r="AP4" i="11"/>
  <c r="AK5" i="12" s="1"/>
  <c r="DB4" i="11"/>
  <c r="CW5" i="12" s="1"/>
  <c r="BO4" i="11"/>
  <c r="BJ5" i="12" s="1"/>
  <c r="AB4" i="11"/>
  <c r="W5" i="12" s="1"/>
  <c r="CN4" i="11"/>
  <c r="CI5" i="12" s="1"/>
  <c r="BA4" i="11"/>
  <c r="AV5" i="12" s="1"/>
  <c r="N4" i="11"/>
  <c r="I5" i="12" s="1"/>
  <c r="BZ4" i="11"/>
  <c r="BU5" i="12" s="1"/>
  <c r="BG4" i="11"/>
  <c r="BB5" i="12" s="1"/>
  <c r="CQ4" i="11"/>
  <c r="CL5" i="12" s="1"/>
  <c r="AX4" i="11"/>
  <c r="AS5" i="12" s="1"/>
  <c r="BW4" i="11"/>
  <c r="BR5" i="12" s="1"/>
  <c r="AJ4" i="11"/>
  <c r="AE5" i="12" s="1"/>
  <c r="CV4" i="11"/>
  <c r="CQ5" i="12" s="1"/>
  <c r="BI4" i="11"/>
  <c r="BD5" i="12" s="1"/>
  <c r="V4" i="11"/>
  <c r="Q5" i="12" s="1"/>
  <c r="CH4" i="11"/>
  <c r="CC5" i="12" s="1"/>
  <c r="AU4" i="11"/>
  <c r="AP5" i="12" s="1"/>
  <c r="P4" i="11"/>
  <c r="K5" i="12" s="1"/>
  <c r="CB4" i="11"/>
  <c r="BW5" i="12" s="1"/>
  <c r="AW4" i="11"/>
  <c r="AR5" i="12" s="1"/>
  <c r="BV4" i="11"/>
  <c r="BQ5" i="12" s="1"/>
  <c r="CU4" i="11"/>
  <c r="CP5" i="12" s="1"/>
  <c r="CG4" i="11"/>
  <c r="CB5" i="12" s="1"/>
  <c r="BS4" i="11"/>
  <c r="BN5" i="12" s="1"/>
  <c r="AN4" i="11"/>
  <c r="AI5" i="12" s="1"/>
  <c r="CZ4" i="11"/>
  <c r="CU5" i="12" s="1"/>
  <c r="CD4" i="11"/>
  <c r="BY5" i="12" s="1"/>
  <c r="AC4" i="11"/>
  <c r="X5" i="12" s="1"/>
  <c r="BB4" i="11"/>
  <c r="AW5" i="12" s="1"/>
  <c r="O4" i="11"/>
  <c r="J5" i="12" s="1"/>
  <c r="AV4" i="11"/>
  <c r="AQ5" i="12" s="1"/>
  <c r="Z4" i="11"/>
  <c r="U5" i="12" s="1"/>
  <c r="CW4" i="11"/>
  <c r="CR5" i="12" s="1"/>
  <c r="CI4" i="11"/>
  <c r="CD5" i="12" s="1"/>
  <c r="AH4" i="11"/>
  <c r="AC5" i="12" s="1"/>
  <c r="AS4" i="11"/>
  <c r="AN5" i="12" s="1"/>
  <c r="AE4" i="11"/>
  <c r="Z5" i="12" s="1"/>
  <c r="AG4" i="11"/>
  <c r="AB5" i="12" s="1"/>
  <c r="BF4" i="11"/>
  <c r="BA5" i="12" s="1"/>
  <c r="S4" i="11"/>
  <c r="N5" i="12" s="1"/>
  <c r="CE4" i="11"/>
  <c r="BZ5" i="12" s="1"/>
  <c r="AR4" i="11"/>
  <c r="AM5" i="12" s="1"/>
  <c r="BQ4" i="11"/>
  <c r="BL5" i="12" s="1"/>
  <c r="AD4" i="11"/>
  <c r="Y5" i="12" s="1"/>
  <c r="CP4" i="11"/>
  <c r="CK5" i="12" s="1"/>
  <c r="BC4" i="11"/>
  <c r="AX5" i="12" s="1"/>
  <c r="X4" i="11"/>
  <c r="S5" i="12" s="1"/>
  <c r="CJ4" i="11"/>
  <c r="CE5" i="12" s="1"/>
  <c r="J4" i="11"/>
  <c r="E5" i="12" s="1"/>
  <c r="L4" i="11"/>
  <c r="G5" i="12" s="1"/>
  <c r="M4" i="11"/>
  <c r="H5" i="12" s="1"/>
  <c r="K4" i="11"/>
  <c r="F5" i="12" s="1"/>
  <c r="H4" i="11"/>
  <c r="C5" i="12" s="1"/>
  <c r="I4" i="11"/>
  <c r="D5" i="12" s="1"/>
  <c r="G4" i="11"/>
  <c r="B5" i="12" s="1"/>
  <c r="AM3" i="11"/>
  <c r="AH4" i="12" s="1"/>
  <c r="BE3" i="11"/>
  <c r="AZ4" i="12" s="1"/>
  <c r="CY3" i="11"/>
  <c r="CT4" i="12" s="1"/>
  <c r="BT3" i="11"/>
  <c r="BO4" i="12" s="1"/>
  <c r="AO3" i="11"/>
  <c r="AJ4" i="12" s="1"/>
  <c r="DA3" i="11"/>
  <c r="CV4" i="12" s="1"/>
  <c r="R3" i="11"/>
  <c r="M4" i="12" s="1"/>
  <c r="F582" i="10"/>
  <c r="E580" i="10"/>
  <c r="F581" i="10"/>
  <c r="CZ4" i="12" l="1"/>
  <c r="CY4" i="12"/>
  <c r="CX4" i="12"/>
  <c r="AK5" i="11"/>
  <c r="BG5" i="11"/>
  <c r="X5" i="11"/>
  <c r="S2" i="13" s="1"/>
  <c r="V5" i="11"/>
  <c r="Q2" i="13" s="1"/>
  <c r="L5" i="11"/>
  <c r="G2" i="13" s="1"/>
  <c r="AR5" i="11"/>
  <c r="CI5" i="11"/>
  <c r="CZ5" i="11"/>
  <c r="P5" i="11"/>
  <c r="K2" i="13" s="1"/>
  <c r="AX5" i="11"/>
  <c r="BO5" i="11"/>
  <c r="W5" i="11"/>
  <c r="R2" i="13" s="1"/>
  <c r="AT5" i="11"/>
  <c r="BM5" i="11"/>
  <c r="CM5" i="11"/>
  <c r="CE5" i="11"/>
  <c r="U5" i="11"/>
  <c r="P2" i="13" s="1"/>
  <c r="CR5" i="11"/>
  <c r="AA5" i="11"/>
  <c r="J5" i="11"/>
  <c r="E2" i="13" s="1"/>
  <c r="DB5" i="11"/>
  <c r="CH5" i="11"/>
  <c r="BH5" i="11"/>
  <c r="AF5" i="11"/>
  <c r="BN5" i="11"/>
  <c r="CG5" i="11"/>
  <c r="T5" i="11"/>
  <c r="O2" i="13" s="1"/>
  <c r="CQ5" i="11"/>
  <c r="CJ5" i="11"/>
  <c r="BD5" i="11"/>
  <c r="AU5" i="11"/>
  <c r="BS5" i="11"/>
  <c r="AP5" i="11"/>
  <c r="AV5" i="11"/>
  <c r="BZ5" i="11"/>
  <c r="Q5" i="11"/>
  <c r="L2" i="13" s="1"/>
  <c r="AI5" i="11"/>
  <c r="BK5" i="11"/>
  <c r="I5" i="11"/>
  <c r="D2" i="13" s="1"/>
  <c r="BC5" i="11"/>
  <c r="AG5" i="11"/>
  <c r="O5" i="11"/>
  <c r="J2" i="13" s="1"/>
  <c r="CU5" i="11"/>
  <c r="BI5" i="11"/>
  <c r="N5" i="11"/>
  <c r="I2" i="13" s="1"/>
  <c r="BR5" i="11"/>
  <c r="CS5" i="11"/>
  <c r="H5" i="11"/>
  <c r="C2" i="13" s="1"/>
  <c r="CP5" i="11"/>
  <c r="AE5" i="11"/>
  <c r="BB5" i="11"/>
  <c r="BV5" i="11"/>
  <c r="CV5" i="11"/>
  <c r="BA5" i="11"/>
  <c r="CF5" i="11"/>
  <c r="CO5" i="11"/>
  <c r="CK5" i="11"/>
  <c r="AL5" i="11"/>
  <c r="BJ5" i="11"/>
  <c r="AN5" i="11"/>
  <c r="Z5" i="11"/>
  <c r="U2" i="13" s="1"/>
  <c r="AY5" i="11"/>
  <c r="BF5" i="11"/>
  <c r="BL5" i="11"/>
  <c r="CX5" i="11"/>
  <c r="AD5" i="11"/>
  <c r="AS5" i="11"/>
  <c r="AC5" i="11"/>
  <c r="AW5" i="11"/>
  <c r="AJ5" i="11"/>
  <c r="CN5" i="11"/>
  <c r="CT5" i="11"/>
  <c r="BP5" i="11"/>
  <c r="CC5" i="11"/>
  <c r="BY5" i="11"/>
  <c r="BX5" i="11"/>
  <c r="CW5" i="11"/>
  <c r="S5" i="11"/>
  <c r="N2" i="13" s="1"/>
  <c r="CA5" i="11"/>
  <c r="K5" i="11"/>
  <c r="F2" i="13" s="1"/>
  <c r="M5" i="11"/>
  <c r="H2" i="13" s="1"/>
  <c r="BQ5" i="11"/>
  <c r="AH5" i="11"/>
  <c r="CD5" i="11"/>
  <c r="CB5" i="11"/>
  <c r="BW5" i="11"/>
  <c r="AB5" i="11"/>
  <c r="Y5" i="11"/>
  <c r="T2" i="13" s="1"/>
  <c r="AQ5" i="11"/>
  <c r="BU5" i="11"/>
  <c r="AZ5" i="11"/>
  <c r="CL5" i="11"/>
  <c r="G5" i="11"/>
  <c r="R4" i="11"/>
  <c r="M5" i="12" s="1"/>
  <c r="AO4" i="11"/>
  <c r="AJ5" i="12" s="1"/>
  <c r="BT4" i="11"/>
  <c r="BO5" i="12" s="1"/>
  <c r="CY4" i="11"/>
  <c r="CT5" i="12" s="1"/>
  <c r="BE4" i="11"/>
  <c r="AZ5" i="12" s="1"/>
  <c r="DA4" i="11"/>
  <c r="CV5" i="12" s="1"/>
  <c r="AM4" i="11"/>
  <c r="AH5" i="12" s="1"/>
  <c r="E579" i="10"/>
  <c r="F580" i="10"/>
  <c r="U3" i="13" l="1"/>
  <c r="U4" i="13" s="1"/>
  <c r="U8" i="13"/>
  <c r="G3" i="13"/>
  <c r="G4" i="13" s="1"/>
  <c r="G8" i="13"/>
  <c r="L3" i="13"/>
  <c r="L4" i="13" s="1"/>
  <c r="L8" i="13"/>
  <c r="I3" i="13"/>
  <c r="I4" i="13" s="1"/>
  <c r="I8" i="13"/>
  <c r="S3" i="13"/>
  <c r="S4" i="13" s="1"/>
  <c r="S8" i="13"/>
  <c r="E3" i="13"/>
  <c r="E4" i="13" s="1"/>
  <c r="E8" i="13"/>
  <c r="H3" i="13"/>
  <c r="H4" i="13" s="1"/>
  <c r="H8" i="13"/>
  <c r="P3" i="13"/>
  <c r="P4" i="13" s="1"/>
  <c r="P8" i="13"/>
  <c r="K3" i="13"/>
  <c r="K4" i="13" s="1"/>
  <c r="K8" i="13"/>
  <c r="T3" i="13"/>
  <c r="T4" i="13" s="1"/>
  <c r="T8" i="13"/>
  <c r="F3" i="13"/>
  <c r="F4" i="13" s="1"/>
  <c r="F8" i="13"/>
  <c r="C3" i="13"/>
  <c r="C4" i="13" s="1"/>
  <c r="C8" i="13"/>
  <c r="Q3" i="13"/>
  <c r="Q4" i="13" s="1"/>
  <c r="Q8" i="13"/>
  <c r="D3" i="13"/>
  <c r="D4" i="13" s="1"/>
  <c r="D8" i="13"/>
  <c r="R3" i="13"/>
  <c r="R4" i="13" s="1"/>
  <c r="R8" i="13"/>
  <c r="O3" i="13"/>
  <c r="O4" i="13" s="1"/>
  <c r="O8" i="13"/>
  <c r="J3" i="13"/>
  <c r="J4" i="13" s="1"/>
  <c r="J8" i="13"/>
  <c r="N3" i="13"/>
  <c r="N4" i="13" s="1"/>
  <c r="N8" i="13"/>
  <c r="AR6" i="12"/>
  <c r="AR2" i="13"/>
  <c r="CQ6" i="12"/>
  <c r="CQ2" i="13"/>
  <c r="AD6" i="12"/>
  <c r="AD2" i="13"/>
  <c r="CW6" i="12"/>
  <c r="CW2" i="13"/>
  <c r="BS6" i="12"/>
  <c r="BS2" i="13"/>
  <c r="BT6" i="12"/>
  <c r="BT2" i="13"/>
  <c r="BL6" i="12"/>
  <c r="BL2" i="13"/>
  <c r="AG6" i="12"/>
  <c r="AG2" i="13"/>
  <c r="AS6" i="12"/>
  <c r="AS2" i="13"/>
  <c r="AL6" i="12"/>
  <c r="AL2" i="13"/>
  <c r="BK6" i="12"/>
  <c r="BK2" i="13"/>
  <c r="CS6" i="12"/>
  <c r="CS2" i="13"/>
  <c r="CF6" i="12"/>
  <c r="CF2" i="13"/>
  <c r="CK6" i="12"/>
  <c r="CK2" i="13"/>
  <c r="AB6" i="12"/>
  <c r="AB2" i="13"/>
  <c r="AK6" i="12"/>
  <c r="AK2" i="13"/>
  <c r="BI6" i="12"/>
  <c r="BI2" i="13"/>
  <c r="AF6" i="12"/>
  <c r="AF2" i="13"/>
  <c r="CR6" i="12"/>
  <c r="CR2" i="13"/>
  <c r="AI6" i="12"/>
  <c r="AI2" i="13"/>
  <c r="AU6" i="12"/>
  <c r="AU2" i="13"/>
  <c r="AN6" i="12"/>
  <c r="AN2" i="13"/>
  <c r="BU6" i="12"/>
  <c r="BU2" i="13"/>
  <c r="BP6" i="12"/>
  <c r="BP2" i="13"/>
  <c r="Z6" i="12"/>
  <c r="Z2" i="13"/>
  <c r="CM6" i="12"/>
  <c r="CM2" i="13"/>
  <c r="CO6" i="12"/>
  <c r="CO2" i="13"/>
  <c r="BG6" i="12"/>
  <c r="BG2" i="13"/>
  <c r="CJ6" i="12"/>
  <c r="CJ2" i="13"/>
  <c r="AX6" i="12"/>
  <c r="AX2" i="13"/>
  <c r="BN6" i="12"/>
  <c r="BN2" i="13"/>
  <c r="AA6" i="12"/>
  <c r="AA2" i="13"/>
  <c r="BZ6" i="12"/>
  <c r="BZ2" i="13"/>
  <c r="CU6" i="12"/>
  <c r="CU2" i="13"/>
  <c r="BW6" i="12"/>
  <c r="BW2" i="13"/>
  <c r="BY6" i="12"/>
  <c r="BY2" i="13"/>
  <c r="X6" i="12"/>
  <c r="X2" i="13"/>
  <c r="BD6" i="12"/>
  <c r="BD2" i="13"/>
  <c r="CL6" i="12"/>
  <c r="CL2" i="13"/>
  <c r="AC6" i="12"/>
  <c r="AC2" i="13"/>
  <c r="AW6" i="12"/>
  <c r="AW2" i="13"/>
  <c r="CP6" i="12"/>
  <c r="CP2" i="13"/>
  <c r="V6" i="12"/>
  <c r="V2" i="13"/>
  <c r="BJ6" i="12"/>
  <c r="BJ2" i="13"/>
  <c r="BX6" i="12"/>
  <c r="BX2" i="13"/>
  <c r="AQ6" i="12"/>
  <c r="AQ2" i="13"/>
  <c r="CB6" i="12"/>
  <c r="CB2" i="13"/>
  <c r="BB6" i="12"/>
  <c r="BB2" i="13"/>
  <c r="W6" i="12"/>
  <c r="W2" i="13"/>
  <c r="BV6" i="12"/>
  <c r="BV2" i="13"/>
  <c r="CI6" i="12"/>
  <c r="CI2" i="13"/>
  <c r="BA6" i="12"/>
  <c r="BA2" i="13"/>
  <c r="CA6" i="12"/>
  <c r="CA2" i="13"/>
  <c r="CN6" i="12"/>
  <c r="CN2" i="13"/>
  <c r="AP6" i="12"/>
  <c r="AP2" i="13"/>
  <c r="BC6" i="12"/>
  <c r="BC2" i="13"/>
  <c r="CH6" i="12"/>
  <c r="CH2" i="13"/>
  <c r="CD6" i="12"/>
  <c r="CD2" i="13"/>
  <c r="CE6" i="12"/>
  <c r="CE2" i="13"/>
  <c r="AO6" i="12"/>
  <c r="AO2" i="13"/>
  <c r="CG6" i="12"/>
  <c r="CG2" i="13"/>
  <c r="BQ6" i="12"/>
  <c r="BQ2" i="13"/>
  <c r="BE6" i="12"/>
  <c r="BE2" i="13"/>
  <c r="Y6" i="12"/>
  <c r="Y2" i="13"/>
  <c r="BR6" i="12"/>
  <c r="BR2" i="13"/>
  <c r="AE6" i="12"/>
  <c r="AE2" i="13"/>
  <c r="AT6" i="12"/>
  <c r="AT2" i="13"/>
  <c r="AV6" i="12"/>
  <c r="AV2" i="13"/>
  <c r="BM6" i="12"/>
  <c r="BM2" i="13"/>
  <c r="BF6" i="12"/>
  <c r="BF2" i="13"/>
  <c r="AY6" i="12"/>
  <c r="AY2" i="13"/>
  <c r="CC6" i="12"/>
  <c r="CC2" i="13"/>
  <c r="BH6" i="12"/>
  <c r="BH2" i="13"/>
  <c r="AM6" i="12"/>
  <c r="AM2" i="13"/>
  <c r="B6" i="12"/>
  <c r="B2" i="13"/>
  <c r="U6" i="12"/>
  <c r="T6" i="12"/>
  <c r="S6" i="12"/>
  <c r="R6" i="12"/>
  <c r="Q6" i="12"/>
  <c r="P6" i="12"/>
  <c r="O6" i="12"/>
  <c r="N6" i="12"/>
  <c r="L6" i="12"/>
  <c r="K6" i="12"/>
  <c r="J6" i="12"/>
  <c r="I6" i="12"/>
  <c r="H6" i="12"/>
  <c r="G6" i="12"/>
  <c r="F6" i="12"/>
  <c r="E6" i="12"/>
  <c r="D6" i="12"/>
  <c r="C6" i="12"/>
  <c r="DA4" i="12"/>
  <c r="DB4" i="12" s="1"/>
  <c r="CZ5" i="12"/>
  <c r="CY5" i="12"/>
  <c r="CX5" i="12"/>
  <c r="BU6" i="11"/>
  <c r="BP7" i="12" s="1"/>
  <c r="AM5" i="11"/>
  <c r="K6" i="11"/>
  <c r="F7" i="12" s="1"/>
  <c r="H6" i="11"/>
  <c r="C7" i="12" s="1"/>
  <c r="J6" i="11"/>
  <c r="E7" i="12" s="1"/>
  <c r="V6" i="11"/>
  <c r="Q7" i="12" s="1"/>
  <c r="Y6" i="11"/>
  <c r="T7" i="12" s="1"/>
  <c r="BL6" i="11"/>
  <c r="BG7" i="12" s="1"/>
  <c r="BI6" i="11"/>
  <c r="BD7" i="12" s="1"/>
  <c r="AF6" i="11"/>
  <c r="AA7" i="12" s="1"/>
  <c r="BE5" i="11"/>
  <c r="CD6" i="11"/>
  <c r="BY7" i="12" s="1"/>
  <c r="AC6" i="11"/>
  <c r="X7" i="12" s="1"/>
  <c r="BV6" i="11"/>
  <c r="BQ7" i="12" s="1"/>
  <c r="BS6" i="11"/>
  <c r="BN7" i="12" s="1"/>
  <c r="CE6" i="11"/>
  <c r="BZ7" i="12" s="1"/>
  <c r="AZ6" i="11"/>
  <c r="AU7" i="12" s="1"/>
  <c r="CA6" i="11"/>
  <c r="BV7" i="12" s="1"/>
  <c r="AS6" i="11"/>
  <c r="AN7" i="12" s="1"/>
  <c r="CF6" i="11"/>
  <c r="CA7" i="12" s="1"/>
  <c r="CU6" i="11"/>
  <c r="CP7" i="12" s="1"/>
  <c r="BZ6" i="11"/>
  <c r="BU7" i="12" s="1"/>
  <c r="T6" i="11"/>
  <c r="O7" i="12" s="1"/>
  <c r="BH6" i="11"/>
  <c r="BC7" i="12" s="1"/>
  <c r="AA6" i="11"/>
  <c r="V7" i="12" s="1"/>
  <c r="CM6" i="11"/>
  <c r="CH7" i="12" s="1"/>
  <c r="BO6" i="11"/>
  <c r="BJ7" i="12" s="1"/>
  <c r="X6" i="11"/>
  <c r="S7" i="12" s="1"/>
  <c r="CL6" i="11"/>
  <c r="CG7" i="12" s="1"/>
  <c r="CQ6" i="11"/>
  <c r="CL7" i="12" s="1"/>
  <c r="BW6" i="11"/>
  <c r="BR7" i="12" s="1"/>
  <c r="CC6" i="11"/>
  <c r="BX7" i="12" s="1"/>
  <c r="AD6" i="11"/>
  <c r="Y7" i="12" s="1"/>
  <c r="AL6" i="11"/>
  <c r="AG7" i="12" s="1"/>
  <c r="AE6" i="11"/>
  <c r="Z7" i="12" s="1"/>
  <c r="BK6" i="11"/>
  <c r="BF7" i="12" s="1"/>
  <c r="BD6" i="11"/>
  <c r="AY7" i="12" s="1"/>
  <c r="CH6" i="11"/>
  <c r="CC7" i="12" s="1"/>
  <c r="CR6" i="11"/>
  <c r="CM7" i="12" s="1"/>
  <c r="AX6" i="11"/>
  <c r="AS7" i="12" s="1"/>
  <c r="AR6" i="11"/>
  <c r="AM7" i="12" s="1"/>
  <c r="BG6" i="11"/>
  <c r="BB7" i="12" s="1"/>
  <c r="DA5" i="11"/>
  <c r="CT6" i="11"/>
  <c r="CO7" i="12" s="1"/>
  <c r="CO6" i="11"/>
  <c r="CJ7" i="12" s="1"/>
  <c r="Q6" i="11"/>
  <c r="L7" i="12" s="1"/>
  <c r="CZ6" i="11"/>
  <c r="CU7" i="12" s="1"/>
  <c r="AB6" i="11"/>
  <c r="W7" i="12" s="1"/>
  <c r="BY6" i="11"/>
  <c r="BT7" i="12" s="1"/>
  <c r="BF6" i="11"/>
  <c r="BA7" i="12" s="1"/>
  <c r="BB6" i="11"/>
  <c r="AW7" i="12" s="1"/>
  <c r="I6" i="11"/>
  <c r="D7" i="12" s="1"/>
  <c r="CI6" i="11"/>
  <c r="CD7" i="12" s="1"/>
  <c r="AO5" i="11"/>
  <c r="S6" i="11"/>
  <c r="N7" i="12" s="1"/>
  <c r="AJ6" i="11"/>
  <c r="AE7" i="12" s="1"/>
  <c r="AY6" i="11"/>
  <c r="AT7" i="12" s="1"/>
  <c r="BA6" i="11"/>
  <c r="AV7" i="12" s="1"/>
  <c r="BR6" i="11"/>
  <c r="BM7" i="12" s="1"/>
  <c r="O6" i="11"/>
  <c r="J7" i="12" s="1"/>
  <c r="AV6" i="11"/>
  <c r="AQ7" i="12" s="1"/>
  <c r="CG6" i="11"/>
  <c r="CB7" i="12" s="1"/>
  <c r="BM6" i="11"/>
  <c r="BH7" i="12" s="1"/>
  <c r="R5" i="11"/>
  <c r="M2" i="13" s="1"/>
  <c r="BX6" i="11"/>
  <c r="BS7" i="12" s="1"/>
  <c r="AN6" i="11"/>
  <c r="AI7" i="12" s="1"/>
  <c r="BC6" i="11"/>
  <c r="AX7" i="12" s="1"/>
  <c r="W6" i="11"/>
  <c r="R7" i="12" s="1"/>
  <c r="CY5" i="11"/>
  <c r="AH6" i="11"/>
  <c r="AC7" i="12" s="1"/>
  <c r="CN6" i="11"/>
  <c r="CI7" i="12" s="1"/>
  <c r="BJ6" i="11"/>
  <c r="BE7" i="12" s="1"/>
  <c r="CS6" i="11"/>
  <c r="CN7" i="12" s="1"/>
  <c r="AU6" i="11"/>
  <c r="AP7" i="12" s="1"/>
  <c r="BT5" i="11"/>
  <c r="BQ6" i="11"/>
  <c r="BL7" i="12" s="1"/>
  <c r="AQ6" i="11"/>
  <c r="AL7" i="12" s="1"/>
  <c r="CB6" i="11"/>
  <c r="BW7" i="12" s="1"/>
  <c r="M6" i="11"/>
  <c r="H7" i="12" s="1"/>
  <c r="CW6" i="11"/>
  <c r="CR7" i="12" s="1"/>
  <c r="BP6" i="11"/>
  <c r="BK7" i="12" s="1"/>
  <c r="AW6" i="11"/>
  <c r="AR7" i="12" s="1"/>
  <c r="CX6" i="11"/>
  <c r="CS7" i="12" s="1"/>
  <c r="Z6" i="11"/>
  <c r="CK6" i="11"/>
  <c r="CF7" i="12" s="1"/>
  <c r="CV6" i="11"/>
  <c r="CQ7" i="12" s="1"/>
  <c r="CP6" i="11"/>
  <c r="CK7" i="12" s="1"/>
  <c r="N6" i="11"/>
  <c r="I7" i="12" s="1"/>
  <c r="AG6" i="11"/>
  <c r="AB7" i="12" s="1"/>
  <c r="AI6" i="11"/>
  <c r="AD7" i="12" s="1"/>
  <c r="AP6" i="11"/>
  <c r="AK7" i="12" s="1"/>
  <c r="CJ6" i="11"/>
  <c r="CE7" i="12" s="1"/>
  <c r="BN6" i="11"/>
  <c r="BI7" i="12" s="1"/>
  <c r="DB6" i="11"/>
  <c r="CW7" i="12" s="1"/>
  <c r="U6" i="11"/>
  <c r="P7" i="12" s="1"/>
  <c r="AT6" i="11"/>
  <c r="AO7" i="12" s="1"/>
  <c r="P6" i="11"/>
  <c r="K7" i="12" s="1"/>
  <c r="L6" i="11"/>
  <c r="G7" i="12" s="1"/>
  <c r="AK6" i="11"/>
  <c r="AF7" i="12" s="1"/>
  <c r="G6" i="11"/>
  <c r="E578" i="10"/>
  <c r="F579" i="10"/>
  <c r="M3" i="13" l="1"/>
  <c r="M4" i="13" s="1"/>
  <c r="M8" i="13"/>
  <c r="AM3" i="13"/>
  <c r="AM4" i="13" s="1"/>
  <c r="AM8" i="13"/>
  <c r="BF3" i="13"/>
  <c r="BF4" i="13" s="1"/>
  <c r="BF8" i="13"/>
  <c r="AE3" i="13"/>
  <c r="AE4" i="13" s="1"/>
  <c r="AE8" i="13"/>
  <c r="BQ3" i="13"/>
  <c r="BQ4" i="13" s="1"/>
  <c r="BQ8" i="13"/>
  <c r="CD3" i="13"/>
  <c r="CD4" i="13" s="1"/>
  <c r="CD8" i="13"/>
  <c r="CN3" i="13"/>
  <c r="CN4" i="13" s="1"/>
  <c r="CN8" i="13"/>
  <c r="BV3" i="13"/>
  <c r="BV4" i="13" s="1"/>
  <c r="BV8" i="13"/>
  <c r="AQ3" i="13"/>
  <c r="AQ4" i="13" s="1"/>
  <c r="AQ8" i="13"/>
  <c r="CP3" i="13"/>
  <c r="CP4" i="13" s="1"/>
  <c r="CP8" i="13"/>
  <c r="BD3" i="13"/>
  <c r="BD4" i="13" s="1"/>
  <c r="BD8" i="13"/>
  <c r="CU3" i="13"/>
  <c r="CU4" i="13" s="1"/>
  <c r="CU8" i="13"/>
  <c r="AX3" i="13"/>
  <c r="AX4" i="13" s="1"/>
  <c r="AX8" i="13"/>
  <c r="CM3" i="13"/>
  <c r="CM4" i="13" s="1"/>
  <c r="CM8" i="13"/>
  <c r="AN3" i="13"/>
  <c r="AN4" i="13" s="1"/>
  <c r="AN8" i="13"/>
  <c r="AF3" i="13"/>
  <c r="AF4" i="13" s="1"/>
  <c r="AF8" i="13"/>
  <c r="CK3" i="13"/>
  <c r="CK4" i="13" s="1"/>
  <c r="CK8" i="13"/>
  <c r="AL3" i="13"/>
  <c r="AL4" i="13" s="1"/>
  <c r="AL8" i="13"/>
  <c r="BT3" i="13"/>
  <c r="BT4" i="13" s="1"/>
  <c r="BT8" i="13"/>
  <c r="CQ3" i="13"/>
  <c r="CQ4" i="13" s="1"/>
  <c r="CQ8" i="13"/>
  <c r="BH3" i="13"/>
  <c r="BH4" i="13" s="1"/>
  <c r="BH8" i="13"/>
  <c r="BM3" i="13"/>
  <c r="BM4" i="13" s="1"/>
  <c r="BM8" i="13"/>
  <c r="BR3" i="13"/>
  <c r="BR4" i="13" s="1"/>
  <c r="BR8" i="13"/>
  <c r="CG3" i="13"/>
  <c r="CG4" i="13" s="1"/>
  <c r="CG8" i="13"/>
  <c r="CH3" i="13"/>
  <c r="CH4" i="13" s="1"/>
  <c r="CH8" i="13"/>
  <c r="CA3" i="13"/>
  <c r="CA4" i="13" s="1"/>
  <c r="CA8" i="13"/>
  <c r="W3" i="13"/>
  <c r="W4" i="13" s="1"/>
  <c r="W8" i="13"/>
  <c r="BX3" i="13"/>
  <c r="BX4" i="13" s="1"/>
  <c r="BX8" i="13"/>
  <c r="AW3" i="13"/>
  <c r="AW4" i="13" s="1"/>
  <c r="AW8" i="13"/>
  <c r="X3" i="13"/>
  <c r="X4" i="13" s="1"/>
  <c r="X8" i="13"/>
  <c r="BZ3" i="13"/>
  <c r="BZ4" i="13" s="1"/>
  <c r="BZ8" i="13"/>
  <c r="CJ3" i="13"/>
  <c r="CJ4" i="13" s="1"/>
  <c r="CJ8" i="13"/>
  <c r="Z3" i="13"/>
  <c r="Z4" i="13" s="1"/>
  <c r="Z8" i="13"/>
  <c r="AU3" i="13"/>
  <c r="AU4" i="13" s="1"/>
  <c r="AU8" i="13"/>
  <c r="BI3" i="13"/>
  <c r="BI4" i="13" s="1"/>
  <c r="BI8" i="13"/>
  <c r="CF3" i="13"/>
  <c r="CF4" i="13" s="1"/>
  <c r="CF8" i="13"/>
  <c r="AS3" i="13"/>
  <c r="AS4" i="13" s="1"/>
  <c r="AS8" i="13"/>
  <c r="BS3" i="13"/>
  <c r="BS4" i="13" s="1"/>
  <c r="BS8" i="13"/>
  <c r="AR3" i="13"/>
  <c r="AR4" i="13" s="1"/>
  <c r="AR8" i="13"/>
  <c r="CC3" i="13"/>
  <c r="CC4" i="13" s="1"/>
  <c r="CC8" i="13"/>
  <c r="AV3" i="13"/>
  <c r="AV4" i="13" s="1"/>
  <c r="AV8" i="13"/>
  <c r="Y3" i="13"/>
  <c r="Y4" i="13" s="1"/>
  <c r="Y8" i="13"/>
  <c r="AO3" i="13"/>
  <c r="AO4" i="13" s="1"/>
  <c r="AO8" i="13"/>
  <c r="BC3" i="13"/>
  <c r="BC4" i="13" s="1"/>
  <c r="BC8" i="13"/>
  <c r="BA3" i="13"/>
  <c r="BA4" i="13" s="1"/>
  <c r="BA8" i="13"/>
  <c r="BB3" i="13"/>
  <c r="BB4" i="13" s="1"/>
  <c r="BB8" i="13"/>
  <c r="BJ3" i="13"/>
  <c r="BJ4" i="13" s="1"/>
  <c r="BJ8" i="13"/>
  <c r="AC3" i="13"/>
  <c r="AC4" i="13" s="1"/>
  <c r="AC8" i="13"/>
  <c r="BY3" i="13"/>
  <c r="BY4" i="13" s="1"/>
  <c r="BY8" i="13"/>
  <c r="AA3" i="13"/>
  <c r="AA4" i="13" s="1"/>
  <c r="AA8" i="13"/>
  <c r="BG3" i="13"/>
  <c r="BG4" i="13" s="1"/>
  <c r="BG8" i="13"/>
  <c r="BP3" i="13"/>
  <c r="BP4" i="13" s="1"/>
  <c r="BP8" i="13"/>
  <c r="AI3" i="13"/>
  <c r="AI4" i="13" s="1"/>
  <c r="AI8" i="13"/>
  <c r="AK3" i="13"/>
  <c r="AK4" i="13" s="1"/>
  <c r="AK8" i="13"/>
  <c r="CS3" i="13"/>
  <c r="CS4" i="13" s="1"/>
  <c r="CS8" i="13"/>
  <c r="AG3" i="13"/>
  <c r="AG4" i="13" s="1"/>
  <c r="AG8" i="13"/>
  <c r="CW3" i="13"/>
  <c r="CW4" i="13" s="1"/>
  <c r="CW8" i="13"/>
  <c r="AY3" i="13"/>
  <c r="AY4" i="13" s="1"/>
  <c r="AY8" i="13"/>
  <c r="AT3" i="13"/>
  <c r="AT4" i="13" s="1"/>
  <c r="AT8" i="13"/>
  <c r="BE3" i="13"/>
  <c r="BE4" i="13" s="1"/>
  <c r="BE8" i="13"/>
  <c r="CE3" i="13"/>
  <c r="CE4" i="13" s="1"/>
  <c r="CE8" i="13"/>
  <c r="AP3" i="13"/>
  <c r="AP4" i="13" s="1"/>
  <c r="AP8" i="13"/>
  <c r="CI3" i="13"/>
  <c r="CI4" i="13" s="1"/>
  <c r="CI8" i="13"/>
  <c r="CB3" i="13"/>
  <c r="CB4" i="13" s="1"/>
  <c r="CB8" i="13"/>
  <c r="V3" i="13"/>
  <c r="V4" i="13" s="1"/>
  <c r="V8" i="13"/>
  <c r="CL3" i="13"/>
  <c r="CL4" i="13" s="1"/>
  <c r="CL8" i="13"/>
  <c r="BW3" i="13"/>
  <c r="BW4" i="13" s="1"/>
  <c r="BW8" i="13"/>
  <c r="BN3" i="13"/>
  <c r="BN4" i="13" s="1"/>
  <c r="BN8" i="13"/>
  <c r="CO3" i="13"/>
  <c r="CO4" i="13" s="1"/>
  <c r="CO8" i="13"/>
  <c r="BU3" i="13"/>
  <c r="BU4" i="13" s="1"/>
  <c r="BU8" i="13"/>
  <c r="CR3" i="13"/>
  <c r="CR4" i="13" s="1"/>
  <c r="CR8" i="13"/>
  <c r="AB3" i="13"/>
  <c r="AB4" i="13" s="1"/>
  <c r="AB8" i="13"/>
  <c r="BK3" i="13"/>
  <c r="BK4" i="13" s="1"/>
  <c r="BK8" i="13"/>
  <c r="BL3" i="13"/>
  <c r="BL4" i="13" s="1"/>
  <c r="BL8" i="13"/>
  <c r="AD3" i="13"/>
  <c r="AD4" i="13" s="1"/>
  <c r="AD8" i="13"/>
  <c r="B3" i="13"/>
  <c r="B4" i="13" s="1"/>
  <c r="B8" i="13"/>
  <c r="CV6" i="12"/>
  <c r="CV2" i="13"/>
  <c r="AH6" i="12"/>
  <c r="AH2" i="13"/>
  <c r="AJ6" i="12"/>
  <c r="AJ2" i="13"/>
  <c r="BO6" i="12"/>
  <c r="BO2" i="13"/>
  <c r="AZ6" i="12"/>
  <c r="AZ2" i="13"/>
  <c r="CT6" i="12"/>
  <c r="CT2" i="13"/>
  <c r="U7" i="12"/>
  <c r="M6" i="12"/>
  <c r="B7" i="12"/>
  <c r="DA5" i="12"/>
  <c r="DB5" i="12" s="1"/>
  <c r="CJ7" i="11"/>
  <c r="CE8" i="12" s="1"/>
  <c r="BQ7" i="11"/>
  <c r="BL8" i="12" s="1"/>
  <c r="O7" i="11"/>
  <c r="J8" i="12" s="1"/>
  <c r="CT7" i="11"/>
  <c r="CO8" i="12" s="1"/>
  <c r="BK7" i="11"/>
  <c r="BF8" i="12" s="1"/>
  <c r="BH7" i="11"/>
  <c r="BC8" i="12" s="1"/>
  <c r="H7" i="11"/>
  <c r="C8" i="12" s="1"/>
  <c r="AK7" i="11"/>
  <c r="AF8" i="12" s="1"/>
  <c r="CP7" i="11"/>
  <c r="CK8" i="12" s="1"/>
  <c r="BM7" i="11"/>
  <c r="BH8" i="12" s="1"/>
  <c r="K7" i="11"/>
  <c r="F8" i="12" s="1"/>
  <c r="BN7" i="11"/>
  <c r="BI8" i="12" s="1"/>
  <c r="BP7" i="11"/>
  <c r="BK8" i="12" s="1"/>
  <c r="Z7" i="11"/>
  <c r="W7" i="11"/>
  <c r="R8" i="12" s="1"/>
  <c r="AB7" i="11"/>
  <c r="W8" i="12" s="1"/>
  <c r="X7" i="11"/>
  <c r="S8" i="12" s="1"/>
  <c r="N7" i="11"/>
  <c r="I8" i="12" s="1"/>
  <c r="BJ7" i="11"/>
  <c r="BE8" i="12" s="1"/>
  <c r="AJ7" i="11"/>
  <c r="AE8" i="12" s="1"/>
  <c r="AX7" i="11"/>
  <c r="AS8" i="12" s="1"/>
  <c r="CC7" i="11"/>
  <c r="BX8" i="12" s="1"/>
  <c r="CF7" i="11"/>
  <c r="CA8" i="12" s="1"/>
  <c r="BL7" i="11"/>
  <c r="BG8" i="12" s="1"/>
  <c r="AT7" i="11"/>
  <c r="AO8" i="12" s="1"/>
  <c r="CW7" i="11"/>
  <c r="CR8" i="12" s="1"/>
  <c r="R6" i="11"/>
  <c r="M7" i="12" s="1"/>
  <c r="I7" i="11"/>
  <c r="D8" i="12" s="1"/>
  <c r="CE7" i="11"/>
  <c r="BZ8" i="12" s="1"/>
  <c r="U7" i="11"/>
  <c r="P8" i="12" s="1"/>
  <c r="CX7" i="11"/>
  <c r="CS8" i="12" s="1"/>
  <c r="CN7" i="11"/>
  <c r="CI8" i="12" s="1"/>
  <c r="BR7" i="11"/>
  <c r="BM8" i="12" s="1"/>
  <c r="DA6" i="11"/>
  <c r="CV7" i="12" s="1"/>
  <c r="CD7" i="11"/>
  <c r="BY8" i="12" s="1"/>
  <c r="BT6" i="11"/>
  <c r="BO7" i="12" s="1"/>
  <c r="BB7" i="11"/>
  <c r="AW8" i="12" s="1"/>
  <c r="AS7" i="11"/>
  <c r="AN8" i="12" s="1"/>
  <c r="AP7" i="11"/>
  <c r="AK8" i="12" s="1"/>
  <c r="M7" i="11"/>
  <c r="H8" i="12" s="1"/>
  <c r="BC7" i="11"/>
  <c r="AX8" i="12" s="1"/>
  <c r="S7" i="11"/>
  <c r="N8" i="12" s="1"/>
  <c r="CZ7" i="11"/>
  <c r="CU8" i="12" s="1"/>
  <c r="CR7" i="11"/>
  <c r="CM8" i="12" s="1"/>
  <c r="AE7" i="11"/>
  <c r="Z8" i="12" s="1"/>
  <c r="BW7" i="11"/>
  <c r="BR8" i="12" s="1"/>
  <c r="BO7" i="11"/>
  <c r="BJ8" i="12" s="1"/>
  <c r="T7" i="11"/>
  <c r="O8" i="12" s="1"/>
  <c r="BS7" i="11"/>
  <c r="BN8" i="12" s="1"/>
  <c r="DB7" i="11"/>
  <c r="CW8" i="12" s="1"/>
  <c r="CV7" i="11"/>
  <c r="CQ8" i="12" s="1"/>
  <c r="CB7" i="11"/>
  <c r="BW8" i="12" s="1"/>
  <c r="AH7" i="11"/>
  <c r="AC8" i="12" s="1"/>
  <c r="CG7" i="11"/>
  <c r="CB8" i="12" s="1"/>
  <c r="AO6" i="11"/>
  <c r="AJ7" i="12" s="1"/>
  <c r="Q7" i="11"/>
  <c r="L8" i="12" s="1"/>
  <c r="CH7" i="11"/>
  <c r="CC8" i="12" s="1"/>
  <c r="AL7" i="11"/>
  <c r="AG8" i="12" s="1"/>
  <c r="CM7" i="11"/>
  <c r="CH8" i="12" s="1"/>
  <c r="BZ7" i="11"/>
  <c r="BU8" i="12" s="1"/>
  <c r="CA7" i="11"/>
  <c r="BV8" i="12" s="1"/>
  <c r="BV7" i="11"/>
  <c r="BQ8" i="12" s="1"/>
  <c r="AF7" i="11"/>
  <c r="AA8" i="12" s="1"/>
  <c r="V7" i="11"/>
  <c r="Q8" i="12" s="1"/>
  <c r="AM6" i="11"/>
  <c r="AH7" i="12" s="1"/>
  <c r="BE6" i="11"/>
  <c r="AZ7" i="12" s="1"/>
  <c r="L7" i="11"/>
  <c r="G8" i="12" s="1"/>
  <c r="AI7" i="11"/>
  <c r="AD8" i="12" s="1"/>
  <c r="AW7" i="11"/>
  <c r="AR8" i="12" s="1"/>
  <c r="AU7" i="11"/>
  <c r="AP8" i="12" s="1"/>
  <c r="AN7" i="11"/>
  <c r="AI8" i="12" s="1"/>
  <c r="BA7" i="11"/>
  <c r="AV8" i="12" s="1"/>
  <c r="BF7" i="11"/>
  <c r="BA8" i="12" s="1"/>
  <c r="BG7" i="11"/>
  <c r="BB8" i="12" s="1"/>
  <c r="CQ7" i="11"/>
  <c r="CL8" i="12" s="1"/>
  <c r="Y7" i="11"/>
  <c r="T8" i="12" s="1"/>
  <c r="P7" i="11"/>
  <c r="K8" i="12" s="1"/>
  <c r="AG7" i="11"/>
  <c r="AB8" i="12" s="1"/>
  <c r="CK7" i="11"/>
  <c r="CF8" i="12" s="1"/>
  <c r="AQ7" i="11"/>
  <c r="AL8" i="12" s="1"/>
  <c r="CS7" i="11"/>
  <c r="CN8" i="12" s="1"/>
  <c r="CY6" i="11"/>
  <c r="CT7" i="12" s="1"/>
  <c r="BX7" i="11"/>
  <c r="BS8" i="12" s="1"/>
  <c r="AV7" i="11"/>
  <c r="AQ8" i="12" s="1"/>
  <c r="AY7" i="11"/>
  <c r="AT8" i="12" s="1"/>
  <c r="CI7" i="11"/>
  <c r="CD8" i="12" s="1"/>
  <c r="BY7" i="11"/>
  <c r="BT8" i="12" s="1"/>
  <c r="CO7" i="11"/>
  <c r="CJ8" i="12" s="1"/>
  <c r="AR7" i="11"/>
  <c r="AM8" i="12" s="1"/>
  <c r="BD7" i="11"/>
  <c r="AY8" i="12" s="1"/>
  <c r="AD7" i="11"/>
  <c r="Y8" i="12" s="1"/>
  <c r="CL7" i="11"/>
  <c r="CG8" i="12" s="1"/>
  <c r="AA7" i="11"/>
  <c r="V8" i="12" s="1"/>
  <c r="CU7" i="11"/>
  <c r="CP8" i="12" s="1"/>
  <c r="AZ7" i="11"/>
  <c r="AU8" i="12" s="1"/>
  <c r="AC7" i="11"/>
  <c r="X8" i="12" s="1"/>
  <c r="BI7" i="11"/>
  <c r="BD8" i="12" s="1"/>
  <c r="J7" i="11"/>
  <c r="E8" i="12" s="1"/>
  <c r="BU7" i="11"/>
  <c r="BP8" i="12" s="1"/>
  <c r="G7" i="11"/>
  <c r="E577" i="10"/>
  <c r="F578" i="10"/>
  <c r="BO3" i="13" l="1"/>
  <c r="BO4" i="13" s="1"/>
  <c r="BO8" i="13"/>
  <c r="AJ3" i="13"/>
  <c r="AJ4" i="13" s="1"/>
  <c r="AJ8" i="13"/>
  <c r="CT3" i="13"/>
  <c r="CT4" i="13" s="1"/>
  <c r="CT8" i="13"/>
  <c r="AH3" i="13"/>
  <c r="AH4" i="13" s="1"/>
  <c r="AH8" i="13"/>
  <c r="AZ3" i="13"/>
  <c r="AZ4" i="13" s="1"/>
  <c r="AZ8" i="13"/>
  <c r="CV3" i="13"/>
  <c r="CV4" i="13" s="1"/>
  <c r="CV8" i="13"/>
  <c r="CX6" i="12"/>
  <c r="CY6" i="12"/>
  <c r="CZ6" i="12"/>
  <c r="U8" i="12"/>
  <c r="B8" i="12"/>
  <c r="CZ7" i="12"/>
  <c r="CY7" i="12"/>
  <c r="CX7" i="12"/>
  <c r="CO8" i="11"/>
  <c r="CJ9" i="12" s="1"/>
  <c r="AJ8" i="11"/>
  <c r="AE9" i="12" s="1"/>
  <c r="AB8" i="11"/>
  <c r="W9" i="12" s="1"/>
  <c r="BN8" i="11"/>
  <c r="BI9" i="12" s="1"/>
  <c r="AK8" i="11"/>
  <c r="AF9" i="12" s="1"/>
  <c r="CT8" i="11"/>
  <c r="CO9" i="12" s="1"/>
  <c r="BL8" i="11"/>
  <c r="BG9" i="12" s="1"/>
  <c r="BU8" i="11"/>
  <c r="BP9" i="12" s="1"/>
  <c r="AZ8" i="11"/>
  <c r="AU9" i="12" s="1"/>
  <c r="AD8" i="11"/>
  <c r="Y9" i="12" s="1"/>
  <c r="BY8" i="11"/>
  <c r="BT9" i="12" s="1"/>
  <c r="BX8" i="11"/>
  <c r="BS9" i="12" s="1"/>
  <c r="CK8" i="11"/>
  <c r="CF9" i="12" s="1"/>
  <c r="CQ8" i="11"/>
  <c r="CL9" i="12" s="1"/>
  <c r="AN8" i="11"/>
  <c r="AI9" i="12" s="1"/>
  <c r="L8" i="11"/>
  <c r="G9" i="12" s="1"/>
  <c r="AF8" i="11"/>
  <c r="AA9" i="12" s="1"/>
  <c r="CM8" i="11"/>
  <c r="CH9" i="12" s="1"/>
  <c r="AO7" i="11"/>
  <c r="AJ8" i="12" s="1"/>
  <c r="CV8" i="11"/>
  <c r="CQ9" i="12" s="1"/>
  <c r="BO8" i="11"/>
  <c r="BJ9" i="12" s="1"/>
  <c r="CZ8" i="11"/>
  <c r="CU9" i="12" s="1"/>
  <c r="AP8" i="11"/>
  <c r="AK9" i="12" s="1"/>
  <c r="CD8" i="11"/>
  <c r="BY9" i="12" s="1"/>
  <c r="CX8" i="11"/>
  <c r="CS9" i="12" s="1"/>
  <c r="R7" i="11"/>
  <c r="M8" i="12" s="1"/>
  <c r="CF8" i="11"/>
  <c r="CA9" i="12" s="1"/>
  <c r="BJ8" i="11"/>
  <c r="BE9" i="12" s="1"/>
  <c r="W8" i="11"/>
  <c r="R9" i="12" s="1"/>
  <c r="K8" i="11"/>
  <c r="F9" i="12" s="1"/>
  <c r="H8" i="11"/>
  <c r="C9" i="12" s="1"/>
  <c r="O8" i="11"/>
  <c r="J9" i="12" s="1"/>
  <c r="CU8" i="11"/>
  <c r="CP9" i="12" s="1"/>
  <c r="CI8" i="11"/>
  <c r="CD9" i="12" s="1"/>
  <c r="AG8" i="11"/>
  <c r="AB9" i="12" s="1"/>
  <c r="AU8" i="11"/>
  <c r="AP9" i="12" s="1"/>
  <c r="BV8" i="11"/>
  <c r="BQ9" i="12" s="1"/>
  <c r="CG8" i="11"/>
  <c r="CB9" i="12" s="1"/>
  <c r="BW8" i="11"/>
  <c r="BR9" i="12" s="1"/>
  <c r="AS8" i="11"/>
  <c r="AN9" i="12" s="1"/>
  <c r="DA7" i="11"/>
  <c r="CV8" i="12" s="1"/>
  <c r="CW8" i="11"/>
  <c r="CR9" i="12" s="1"/>
  <c r="CC8" i="11"/>
  <c r="BX9" i="12" s="1"/>
  <c r="N8" i="11"/>
  <c r="I9" i="12" s="1"/>
  <c r="Z8" i="11"/>
  <c r="BM8" i="11"/>
  <c r="BH9" i="12" s="1"/>
  <c r="BH8" i="11"/>
  <c r="BC9" i="12" s="1"/>
  <c r="BQ8" i="11"/>
  <c r="BL9" i="12" s="1"/>
  <c r="CL8" i="11"/>
  <c r="CG9" i="12" s="1"/>
  <c r="AV8" i="11"/>
  <c r="AQ9" i="12" s="1"/>
  <c r="Y8" i="11"/>
  <c r="T9" i="12" s="1"/>
  <c r="BA8" i="11"/>
  <c r="AV9" i="12" s="1"/>
  <c r="V8" i="11"/>
  <c r="Q9" i="12" s="1"/>
  <c r="BZ8" i="11"/>
  <c r="BU9" i="12" s="1"/>
  <c r="Q8" i="11"/>
  <c r="L9" i="12" s="1"/>
  <c r="CB8" i="11"/>
  <c r="BW9" i="12" s="1"/>
  <c r="T8" i="11"/>
  <c r="O9" i="12" s="1"/>
  <c r="CR8" i="11"/>
  <c r="CM9" i="12" s="1"/>
  <c r="M8" i="11"/>
  <c r="H9" i="12" s="1"/>
  <c r="BT7" i="11"/>
  <c r="BO8" i="12" s="1"/>
  <c r="CN8" i="11"/>
  <c r="CI9" i="12" s="1"/>
  <c r="J8" i="11"/>
  <c r="E9" i="12" s="1"/>
  <c r="BD8" i="11"/>
  <c r="AY9" i="12" s="1"/>
  <c r="CY7" i="11"/>
  <c r="CT8" i="12" s="1"/>
  <c r="BG8" i="11"/>
  <c r="BB9" i="12" s="1"/>
  <c r="BE7" i="11"/>
  <c r="AZ8" i="12" s="1"/>
  <c r="AL8" i="11"/>
  <c r="AG9" i="12" s="1"/>
  <c r="DB8" i="11"/>
  <c r="CW9" i="12" s="1"/>
  <c r="S8" i="11"/>
  <c r="N9" i="12" s="1"/>
  <c r="U8" i="11"/>
  <c r="P9" i="12" s="1"/>
  <c r="AC8" i="11"/>
  <c r="X9" i="12" s="1"/>
  <c r="AQ8" i="11"/>
  <c r="AL9" i="12" s="1"/>
  <c r="AI8" i="11"/>
  <c r="AD9" i="12" s="1"/>
  <c r="I8" i="11"/>
  <c r="D9" i="12" s="1"/>
  <c r="BI8" i="11"/>
  <c r="BD9" i="12" s="1"/>
  <c r="AA8" i="11"/>
  <c r="V9" i="12" s="1"/>
  <c r="AR8" i="11"/>
  <c r="AM9" i="12" s="1"/>
  <c r="AY8" i="11"/>
  <c r="AT9" i="12" s="1"/>
  <c r="CS8" i="11"/>
  <c r="CN9" i="12" s="1"/>
  <c r="P8" i="11"/>
  <c r="K9" i="12" s="1"/>
  <c r="BF8" i="11"/>
  <c r="BA9" i="12" s="1"/>
  <c r="AW8" i="11"/>
  <c r="AR9" i="12" s="1"/>
  <c r="AM7" i="11"/>
  <c r="AH8" i="12" s="1"/>
  <c r="CA8" i="11"/>
  <c r="BV9" i="12" s="1"/>
  <c r="CH8" i="11"/>
  <c r="CC9" i="12" s="1"/>
  <c r="AH8" i="11"/>
  <c r="AC9" i="12" s="1"/>
  <c r="BS8" i="11"/>
  <c r="BN9" i="12" s="1"/>
  <c r="AE8" i="11"/>
  <c r="Z9" i="12" s="1"/>
  <c r="BC8" i="11"/>
  <c r="AX9" i="12" s="1"/>
  <c r="BB8" i="11"/>
  <c r="AW9" i="12" s="1"/>
  <c r="BR8" i="11"/>
  <c r="BM9" i="12" s="1"/>
  <c r="CE8" i="11"/>
  <c r="BZ9" i="12" s="1"/>
  <c r="AT8" i="11"/>
  <c r="AO9" i="12" s="1"/>
  <c r="AX8" i="11"/>
  <c r="AS9" i="12" s="1"/>
  <c r="X8" i="11"/>
  <c r="S9" i="12" s="1"/>
  <c r="BP8" i="11"/>
  <c r="BK9" i="12" s="1"/>
  <c r="CP8" i="11"/>
  <c r="CK9" i="12" s="1"/>
  <c r="BK8" i="11"/>
  <c r="BF9" i="12" s="1"/>
  <c r="CJ8" i="11"/>
  <c r="CE9" i="12" s="1"/>
  <c r="G8" i="11"/>
  <c r="E576" i="10"/>
  <c r="F577" i="10"/>
  <c r="E9" i="13" l="1"/>
  <c r="E5" i="13"/>
  <c r="B9" i="13"/>
  <c r="B5" i="13"/>
  <c r="DA6" i="12"/>
  <c r="DB6" i="12" s="1"/>
  <c r="U9" i="12"/>
  <c r="B9" i="12"/>
  <c r="DA7" i="12"/>
  <c r="DB7" i="12" s="1"/>
  <c r="CZ8" i="12"/>
  <c r="CY8" i="12"/>
  <c r="CX8" i="12"/>
  <c r="AL9" i="11"/>
  <c r="AG10" i="12" s="1"/>
  <c r="AX9" i="11"/>
  <c r="AS10" i="12" s="1"/>
  <c r="AT9" i="11"/>
  <c r="AO10" i="12" s="1"/>
  <c r="CH9" i="11"/>
  <c r="CC10" i="12" s="1"/>
  <c r="AI9" i="11"/>
  <c r="AD10" i="12" s="1"/>
  <c r="P9" i="11"/>
  <c r="K10" i="12" s="1"/>
  <c r="AA9" i="11"/>
  <c r="V10" i="12" s="1"/>
  <c r="AQ9" i="11"/>
  <c r="AL10" i="12" s="1"/>
  <c r="DB9" i="11"/>
  <c r="CW10" i="12" s="1"/>
  <c r="CY8" i="11"/>
  <c r="CT9" i="12" s="1"/>
  <c r="BT8" i="11"/>
  <c r="BO9" i="12" s="1"/>
  <c r="CB9" i="11"/>
  <c r="BW10" i="12" s="1"/>
  <c r="BQ9" i="11"/>
  <c r="BL10" i="12" s="1"/>
  <c r="N9" i="11"/>
  <c r="I10" i="12" s="1"/>
  <c r="AS9" i="11"/>
  <c r="AN10" i="12" s="1"/>
  <c r="AU9" i="11"/>
  <c r="AP10" i="12" s="1"/>
  <c r="O9" i="11"/>
  <c r="J10" i="12" s="1"/>
  <c r="BJ9" i="11"/>
  <c r="BE10" i="12" s="1"/>
  <c r="CD9" i="11"/>
  <c r="BY10" i="12" s="1"/>
  <c r="CV9" i="11"/>
  <c r="CQ10" i="12" s="1"/>
  <c r="L9" i="11"/>
  <c r="G10" i="12" s="1"/>
  <c r="BX9" i="11"/>
  <c r="BS10" i="12" s="1"/>
  <c r="BU9" i="11"/>
  <c r="BP10" i="12" s="1"/>
  <c r="BN9" i="11"/>
  <c r="BI10" i="12" s="1"/>
  <c r="BA9" i="11"/>
  <c r="AV10" i="12" s="1"/>
  <c r="X9" i="11"/>
  <c r="S10" i="12" s="1"/>
  <c r="AM8" i="11"/>
  <c r="AH9" i="12" s="1"/>
  <c r="AC9" i="11"/>
  <c r="X10" i="12" s="1"/>
  <c r="M9" i="11"/>
  <c r="H10" i="12" s="1"/>
  <c r="Y9" i="11"/>
  <c r="T10" i="12" s="1"/>
  <c r="BH9" i="11"/>
  <c r="BC10" i="12" s="1"/>
  <c r="CC9" i="11"/>
  <c r="BX10" i="12" s="1"/>
  <c r="BW9" i="11"/>
  <c r="BR10" i="12" s="1"/>
  <c r="AG9" i="11"/>
  <c r="AB10" i="12" s="1"/>
  <c r="H9" i="11"/>
  <c r="C10" i="12" s="1"/>
  <c r="CF9" i="11"/>
  <c r="CA10" i="12" s="1"/>
  <c r="AP9" i="11"/>
  <c r="AK10" i="12" s="1"/>
  <c r="AO8" i="11"/>
  <c r="AJ9" i="12" s="1"/>
  <c r="AN9" i="11"/>
  <c r="AI10" i="12" s="1"/>
  <c r="BY9" i="11"/>
  <c r="BT10" i="12" s="1"/>
  <c r="BL9" i="11"/>
  <c r="BG10" i="12" s="1"/>
  <c r="AB9" i="11"/>
  <c r="W10" i="12" s="1"/>
  <c r="Q9" i="11"/>
  <c r="L10" i="12" s="1"/>
  <c r="BI9" i="11"/>
  <c r="BD10" i="12" s="1"/>
  <c r="BB9" i="11"/>
  <c r="AW10" i="12" s="1"/>
  <c r="AW9" i="11"/>
  <c r="AR10" i="12" s="1"/>
  <c r="I9" i="11"/>
  <c r="D10" i="12" s="1"/>
  <c r="BE8" i="11"/>
  <c r="AZ9" i="12" s="1"/>
  <c r="CR9" i="11"/>
  <c r="CM10" i="12" s="1"/>
  <c r="AV9" i="11"/>
  <c r="AQ10" i="12" s="1"/>
  <c r="CW9" i="11"/>
  <c r="CR10" i="12" s="1"/>
  <c r="CG9" i="11"/>
  <c r="CB10" i="12" s="1"/>
  <c r="CI9" i="11"/>
  <c r="CD10" i="12" s="1"/>
  <c r="R8" i="11"/>
  <c r="M9" i="12" s="1"/>
  <c r="CZ9" i="11"/>
  <c r="CU10" i="12" s="1"/>
  <c r="CM9" i="11"/>
  <c r="CH10" i="12" s="1"/>
  <c r="CQ9" i="11"/>
  <c r="CL10" i="12" s="1"/>
  <c r="AD9" i="11"/>
  <c r="Y10" i="12" s="1"/>
  <c r="CT9" i="11"/>
  <c r="CO10" i="12" s="1"/>
  <c r="AJ9" i="11"/>
  <c r="AE10" i="12" s="1"/>
  <c r="CE9" i="11"/>
  <c r="BZ10" i="12" s="1"/>
  <c r="CA9" i="11"/>
  <c r="BV10" i="12" s="1"/>
  <c r="BR9" i="11"/>
  <c r="BM10" i="12" s="1"/>
  <c r="BD9" i="11"/>
  <c r="AY10" i="12" s="1"/>
  <c r="BK9" i="11"/>
  <c r="BF10" i="12" s="1"/>
  <c r="AH9" i="11"/>
  <c r="AC10" i="12" s="1"/>
  <c r="AY9" i="11"/>
  <c r="AT10" i="12" s="1"/>
  <c r="U9" i="11"/>
  <c r="P10" i="12" s="1"/>
  <c r="J9" i="11"/>
  <c r="E10" i="12" s="1"/>
  <c r="BZ9" i="11"/>
  <c r="BU10" i="12" s="1"/>
  <c r="BM9" i="11"/>
  <c r="BH10" i="12" s="1"/>
  <c r="K9" i="11"/>
  <c r="F10" i="12" s="1"/>
  <c r="BP9" i="11"/>
  <c r="BK10" i="12" s="1"/>
  <c r="AE9" i="11"/>
  <c r="Z10" i="12" s="1"/>
  <c r="CJ9" i="11"/>
  <c r="CE10" i="12" s="1"/>
  <c r="BS9" i="11"/>
  <c r="BN10" i="12" s="1"/>
  <c r="CS9" i="11"/>
  <c r="CN10" i="12" s="1"/>
  <c r="CP9" i="11"/>
  <c r="CK10" i="12" s="1"/>
  <c r="BC9" i="11"/>
  <c r="AX10" i="12" s="1"/>
  <c r="BF9" i="11"/>
  <c r="BA10" i="12" s="1"/>
  <c r="AR9" i="11"/>
  <c r="AM10" i="12" s="1"/>
  <c r="S9" i="11"/>
  <c r="N10" i="12" s="1"/>
  <c r="BG9" i="11"/>
  <c r="BB10" i="12" s="1"/>
  <c r="CN9" i="11"/>
  <c r="CI10" i="12" s="1"/>
  <c r="T9" i="11"/>
  <c r="O10" i="12" s="1"/>
  <c r="V9" i="11"/>
  <c r="Q10" i="12" s="1"/>
  <c r="CL9" i="11"/>
  <c r="CG10" i="12" s="1"/>
  <c r="Z9" i="11"/>
  <c r="DA8" i="11"/>
  <c r="CV9" i="12" s="1"/>
  <c r="BV9" i="11"/>
  <c r="BQ10" i="12" s="1"/>
  <c r="CU9" i="11"/>
  <c r="CP10" i="12" s="1"/>
  <c r="W9" i="11"/>
  <c r="R10" i="12" s="1"/>
  <c r="CX9" i="11"/>
  <c r="CS10" i="12" s="1"/>
  <c r="BO9" i="11"/>
  <c r="BJ10" i="12" s="1"/>
  <c r="AF9" i="11"/>
  <c r="AA10" i="12" s="1"/>
  <c r="CK9" i="11"/>
  <c r="CF10" i="12" s="1"/>
  <c r="AZ9" i="11"/>
  <c r="AU10" i="12" s="1"/>
  <c r="AK9" i="11"/>
  <c r="AF10" i="12" s="1"/>
  <c r="CO9" i="11"/>
  <c r="CJ10" i="12" s="1"/>
  <c r="G9" i="11"/>
  <c r="E575" i="10"/>
  <c r="F576" i="10"/>
  <c r="U10" i="12" l="1"/>
  <c r="B10" i="12"/>
  <c r="DA8" i="12"/>
  <c r="DB8" i="12" s="1"/>
  <c r="CZ9" i="12"/>
  <c r="CY9" i="12"/>
  <c r="CX9" i="12"/>
  <c r="BS10" i="11"/>
  <c r="BN11" i="12" s="1"/>
  <c r="BI10" i="11"/>
  <c r="BD11" i="12" s="1"/>
  <c r="CK10" i="11"/>
  <c r="CF11" i="12" s="1"/>
  <c r="W10" i="11"/>
  <c r="R11" i="12" s="1"/>
  <c r="Z10" i="11"/>
  <c r="CN10" i="11"/>
  <c r="CI11" i="12" s="1"/>
  <c r="BF10" i="11"/>
  <c r="BA11" i="12" s="1"/>
  <c r="K10" i="11"/>
  <c r="F11" i="12" s="1"/>
  <c r="U10" i="11"/>
  <c r="P11" i="12" s="1"/>
  <c r="BD10" i="11"/>
  <c r="AY11" i="12" s="1"/>
  <c r="AJ10" i="11"/>
  <c r="AE11" i="12" s="1"/>
  <c r="CM10" i="11"/>
  <c r="CH11" i="12" s="1"/>
  <c r="CG10" i="11"/>
  <c r="CB11" i="12" s="1"/>
  <c r="BE9" i="11"/>
  <c r="AZ10" i="12" s="1"/>
  <c r="BY10" i="11"/>
  <c r="BT11" i="12" s="1"/>
  <c r="CF10" i="11"/>
  <c r="CA11" i="12" s="1"/>
  <c r="CC10" i="11"/>
  <c r="BX11" i="12" s="1"/>
  <c r="AC10" i="11"/>
  <c r="X11" i="12" s="1"/>
  <c r="BN10" i="11"/>
  <c r="BI11" i="12" s="1"/>
  <c r="CV10" i="11"/>
  <c r="CQ11" i="12" s="1"/>
  <c r="AU10" i="11"/>
  <c r="AP11" i="12" s="1"/>
  <c r="CB10" i="11"/>
  <c r="BW11" i="12" s="1"/>
  <c r="AQ10" i="11"/>
  <c r="AL11" i="12" s="1"/>
  <c r="CH10" i="11"/>
  <c r="CC11" i="12" s="1"/>
  <c r="CW10" i="11"/>
  <c r="CR11" i="12" s="1"/>
  <c r="Q10" i="11"/>
  <c r="L11" i="12" s="1"/>
  <c r="AN10" i="11"/>
  <c r="AI11" i="12" s="1"/>
  <c r="BH10" i="11"/>
  <c r="BC11" i="12" s="1"/>
  <c r="AM9" i="11"/>
  <c r="AH10" i="12" s="1"/>
  <c r="CD10" i="11"/>
  <c r="BY11" i="12" s="1"/>
  <c r="AA10" i="11"/>
  <c r="V11" i="12" s="1"/>
  <c r="AT10" i="11"/>
  <c r="AO11" i="12" s="1"/>
  <c r="CO10" i="11"/>
  <c r="CJ11" i="12" s="1"/>
  <c r="CU10" i="11"/>
  <c r="CP11" i="12" s="1"/>
  <c r="BG10" i="11"/>
  <c r="BB11" i="12" s="1"/>
  <c r="CJ10" i="11"/>
  <c r="CE11" i="12" s="1"/>
  <c r="BM10" i="11"/>
  <c r="BH11" i="12" s="1"/>
  <c r="BR10" i="11"/>
  <c r="BM11" i="12" s="1"/>
  <c r="CT10" i="11"/>
  <c r="CO11" i="12" s="1"/>
  <c r="CZ10" i="11"/>
  <c r="CU11" i="12" s="1"/>
  <c r="I10" i="11"/>
  <c r="D11" i="12" s="1"/>
  <c r="H10" i="11"/>
  <c r="C11" i="12" s="1"/>
  <c r="AS10" i="11"/>
  <c r="AN11" i="12" s="1"/>
  <c r="AK10" i="11"/>
  <c r="AF11" i="12" s="1"/>
  <c r="BV10" i="11"/>
  <c r="BQ11" i="12" s="1"/>
  <c r="S10" i="11"/>
  <c r="N11" i="12" s="1"/>
  <c r="AE10" i="11"/>
  <c r="Z11" i="12" s="1"/>
  <c r="AH10" i="11"/>
  <c r="AC11" i="12" s="1"/>
  <c r="AD10" i="11"/>
  <c r="Y11" i="12" s="1"/>
  <c r="AV10" i="11"/>
  <c r="AQ11" i="12" s="1"/>
  <c r="AW10" i="11"/>
  <c r="AR11" i="12" s="1"/>
  <c r="AB10" i="11"/>
  <c r="W11" i="12" s="1"/>
  <c r="AO9" i="11"/>
  <c r="AJ10" i="12" s="1"/>
  <c r="Y10" i="11"/>
  <c r="T11" i="12" s="1"/>
  <c r="X10" i="11"/>
  <c r="S11" i="12" s="1"/>
  <c r="BX10" i="11"/>
  <c r="BS11" i="12" s="1"/>
  <c r="BJ10" i="11"/>
  <c r="BE11" i="12" s="1"/>
  <c r="N10" i="11"/>
  <c r="I11" i="12" s="1"/>
  <c r="CY9" i="11"/>
  <c r="CT10" i="12" s="1"/>
  <c r="P10" i="11"/>
  <c r="K11" i="12" s="1"/>
  <c r="AX10" i="11"/>
  <c r="AS11" i="12" s="1"/>
  <c r="BT9" i="11"/>
  <c r="BO10" i="12" s="1"/>
  <c r="BO10" i="11"/>
  <c r="BJ11" i="12" s="1"/>
  <c r="V10" i="11"/>
  <c r="Q11" i="12" s="1"/>
  <c r="CP10" i="11"/>
  <c r="CK11" i="12" s="1"/>
  <c r="BZ10" i="11"/>
  <c r="BU11" i="12" s="1"/>
  <c r="CA10" i="11"/>
  <c r="BV11" i="12" s="1"/>
  <c r="R9" i="11"/>
  <c r="M10" i="12" s="1"/>
  <c r="AG10" i="11"/>
  <c r="AB11" i="12" s="1"/>
  <c r="AF10" i="11"/>
  <c r="AA11" i="12" s="1"/>
  <c r="CL10" i="11"/>
  <c r="CG11" i="12" s="1"/>
  <c r="BC10" i="11"/>
  <c r="AX11" i="12" s="1"/>
  <c r="AY10" i="11"/>
  <c r="AT11" i="12" s="1"/>
  <c r="BU10" i="11"/>
  <c r="BP11" i="12" s="1"/>
  <c r="AZ10" i="11"/>
  <c r="AU11" i="12" s="1"/>
  <c r="CX10" i="11"/>
  <c r="CS11" i="12" s="1"/>
  <c r="DA9" i="11"/>
  <c r="CV10" i="12" s="1"/>
  <c r="T10" i="11"/>
  <c r="O11" i="12" s="1"/>
  <c r="AR10" i="11"/>
  <c r="AM11" i="12" s="1"/>
  <c r="CS10" i="11"/>
  <c r="CN11" i="12" s="1"/>
  <c r="BP10" i="11"/>
  <c r="BK11" i="12" s="1"/>
  <c r="J10" i="11"/>
  <c r="E11" i="12" s="1"/>
  <c r="BK10" i="11"/>
  <c r="BF11" i="12" s="1"/>
  <c r="CE10" i="11"/>
  <c r="BZ11" i="12" s="1"/>
  <c r="CQ10" i="11"/>
  <c r="CL11" i="12" s="1"/>
  <c r="CI10" i="11"/>
  <c r="CD11" i="12" s="1"/>
  <c r="CR10" i="11"/>
  <c r="CM11" i="12" s="1"/>
  <c r="BB10" i="11"/>
  <c r="AW11" i="12" s="1"/>
  <c r="BL10" i="11"/>
  <c r="BG11" i="12" s="1"/>
  <c r="AP10" i="11"/>
  <c r="AK11" i="12" s="1"/>
  <c r="BW10" i="11"/>
  <c r="BR11" i="12" s="1"/>
  <c r="M10" i="11"/>
  <c r="H11" i="12" s="1"/>
  <c r="BA10" i="11"/>
  <c r="AV11" i="12" s="1"/>
  <c r="L10" i="11"/>
  <c r="G11" i="12" s="1"/>
  <c r="O10" i="11"/>
  <c r="J11" i="12" s="1"/>
  <c r="BQ10" i="11"/>
  <c r="BL11" i="12" s="1"/>
  <c r="DB10" i="11"/>
  <c r="CW11" i="12" s="1"/>
  <c r="AI10" i="11"/>
  <c r="AD11" i="12" s="1"/>
  <c r="AL10" i="11"/>
  <c r="AG11" i="12" s="1"/>
  <c r="G10" i="11"/>
  <c r="E574" i="10"/>
  <c r="F575" i="10"/>
  <c r="U11" i="12" l="1"/>
  <c r="B11" i="12"/>
  <c r="DA9" i="12"/>
  <c r="DB9" i="12" s="1"/>
  <c r="CZ10" i="12"/>
  <c r="CY10" i="12"/>
  <c r="CX10" i="12"/>
  <c r="BQ11" i="11"/>
  <c r="BL12" i="12" s="1"/>
  <c r="M11" i="11"/>
  <c r="H12" i="12" s="1"/>
  <c r="BB11" i="11"/>
  <c r="AW12" i="12" s="1"/>
  <c r="CE11" i="11"/>
  <c r="BZ12" i="12" s="1"/>
  <c r="CS11" i="11"/>
  <c r="CN12" i="12" s="1"/>
  <c r="CX11" i="11"/>
  <c r="CS12" i="12" s="1"/>
  <c r="BC11" i="11"/>
  <c r="AX12" i="12" s="1"/>
  <c r="R10" i="11"/>
  <c r="M11" i="12" s="1"/>
  <c r="V11" i="11"/>
  <c r="Q12" i="12" s="1"/>
  <c r="P11" i="11"/>
  <c r="K12" i="12" s="1"/>
  <c r="BX11" i="11"/>
  <c r="BS12" i="12" s="1"/>
  <c r="AB11" i="11"/>
  <c r="W12" i="12" s="1"/>
  <c r="AH11" i="11"/>
  <c r="AC12" i="12" s="1"/>
  <c r="AK11" i="11"/>
  <c r="AF12" i="12" s="1"/>
  <c r="CZ11" i="11"/>
  <c r="CU12" i="12" s="1"/>
  <c r="CJ11" i="11"/>
  <c r="CE12" i="12" s="1"/>
  <c r="AT11" i="11"/>
  <c r="AO12" i="12" s="1"/>
  <c r="BH11" i="11"/>
  <c r="BC12" i="12" s="1"/>
  <c r="CH11" i="11"/>
  <c r="CC12" i="12" s="1"/>
  <c r="CV11" i="11"/>
  <c r="CQ12" i="12" s="1"/>
  <c r="CF11" i="11"/>
  <c r="CA12" i="12" s="1"/>
  <c r="CM11" i="11"/>
  <c r="CH12" i="12" s="1"/>
  <c r="K11" i="11"/>
  <c r="F12" i="12" s="1"/>
  <c r="W11" i="11"/>
  <c r="R12" i="12" s="1"/>
  <c r="O11" i="11"/>
  <c r="J12" i="12" s="1"/>
  <c r="BK11" i="11"/>
  <c r="BF12" i="12" s="1"/>
  <c r="CA11" i="11"/>
  <c r="BV12" i="12" s="1"/>
  <c r="X11" i="11"/>
  <c r="S12" i="12" s="1"/>
  <c r="AS11" i="11"/>
  <c r="AN12" i="12" s="1"/>
  <c r="AA11" i="11"/>
  <c r="V12" i="12" s="1"/>
  <c r="BN11" i="11"/>
  <c r="BI12" i="12" s="1"/>
  <c r="CK11" i="11"/>
  <c r="CF12" i="12" s="1"/>
  <c r="L11" i="11"/>
  <c r="G12" i="12" s="1"/>
  <c r="J11" i="11"/>
  <c r="E12" i="12" s="1"/>
  <c r="BU11" i="11"/>
  <c r="BP12" i="12" s="1"/>
  <c r="BZ11" i="11"/>
  <c r="BU12" i="12" s="1"/>
  <c r="N11" i="11"/>
  <c r="I12" i="12" s="1"/>
  <c r="AV11" i="11"/>
  <c r="AQ12" i="12" s="1"/>
  <c r="H11" i="11"/>
  <c r="C12" i="12" s="1"/>
  <c r="CU11" i="11"/>
  <c r="CP12" i="12" s="1"/>
  <c r="CD11" i="11"/>
  <c r="BY12" i="12" s="1"/>
  <c r="Q11" i="11"/>
  <c r="L12" i="12" s="1"/>
  <c r="CB11" i="11"/>
  <c r="BW12" i="12" s="1"/>
  <c r="AC11" i="11"/>
  <c r="X12" i="12" s="1"/>
  <c r="BE10" i="11"/>
  <c r="AZ11" i="12" s="1"/>
  <c r="BD11" i="11"/>
  <c r="AY12" i="12" s="1"/>
  <c r="CN11" i="11"/>
  <c r="CI12" i="12" s="1"/>
  <c r="BI11" i="11"/>
  <c r="BD12" i="12" s="1"/>
  <c r="AL11" i="11"/>
  <c r="AG12" i="12" s="1"/>
  <c r="CR11" i="11"/>
  <c r="CM12" i="12" s="1"/>
  <c r="AZ11" i="11"/>
  <c r="AU12" i="12" s="1"/>
  <c r="BO11" i="11"/>
  <c r="BJ12" i="12" s="1"/>
  <c r="AE11" i="11"/>
  <c r="Z12" i="12" s="1"/>
  <c r="BG11" i="11"/>
  <c r="BB12" i="12" s="1"/>
  <c r="AQ11" i="11"/>
  <c r="AL12" i="12" s="1"/>
  <c r="BF11" i="11"/>
  <c r="BA12" i="12" s="1"/>
  <c r="AI11" i="11"/>
  <c r="AD12" i="12" s="1"/>
  <c r="AP11" i="11"/>
  <c r="AK12" i="12" s="1"/>
  <c r="CI11" i="11"/>
  <c r="CD12" i="12" s="1"/>
  <c r="T11" i="11"/>
  <c r="O12" i="12" s="1"/>
  <c r="AF11" i="11"/>
  <c r="AA12" i="12" s="1"/>
  <c r="BT10" i="11"/>
  <c r="BO11" i="12" s="1"/>
  <c r="Y11" i="11"/>
  <c r="T12" i="12" s="1"/>
  <c r="S11" i="11"/>
  <c r="N12" i="12" s="1"/>
  <c r="BR11" i="11"/>
  <c r="BM12" i="12" s="1"/>
  <c r="BW11" i="11"/>
  <c r="BR12" i="12" s="1"/>
  <c r="AR11" i="11"/>
  <c r="AM12" i="12" s="1"/>
  <c r="CL11" i="11"/>
  <c r="CG12" i="12" s="1"/>
  <c r="CY10" i="11"/>
  <c r="CT11" i="12" s="1"/>
  <c r="AW11" i="11"/>
  <c r="AR12" i="12" s="1"/>
  <c r="CT11" i="11"/>
  <c r="CO12" i="12" s="1"/>
  <c r="AN11" i="11"/>
  <c r="AI12" i="12" s="1"/>
  <c r="BY11" i="11"/>
  <c r="BT12" i="12" s="1"/>
  <c r="AJ11" i="11"/>
  <c r="AE12" i="12" s="1"/>
  <c r="DB11" i="11"/>
  <c r="CW12" i="12" s="1"/>
  <c r="BA11" i="11"/>
  <c r="AV12" i="12" s="1"/>
  <c r="BL11" i="11"/>
  <c r="BG12" i="12" s="1"/>
  <c r="CQ11" i="11"/>
  <c r="CL12" i="12" s="1"/>
  <c r="BP11" i="11"/>
  <c r="BK12" i="12" s="1"/>
  <c r="DA10" i="11"/>
  <c r="CV11" i="12" s="1"/>
  <c r="AY11" i="11"/>
  <c r="AT12" i="12" s="1"/>
  <c r="AG11" i="11"/>
  <c r="AB12" i="12" s="1"/>
  <c r="CP11" i="11"/>
  <c r="CK12" i="12" s="1"/>
  <c r="AX11" i="11"/>
  <c r="AS12" i="12" s="1"/>
  <c r="BJ11" i="11"/>
  <c r="BE12" i="12" s="1"/>
  <c r="AO10" i="11"/>
  <c r="AJ11" i="12" s="1"/>
  <c r="AD11" i="11"/>
  <c r="Y12" i="12" s="1"/>
  <c r="BV11" i="11"/>
  <c r="BQ12" i="12" s="1"/>
  <c r="I11" i="11"/>
  <c r="D12" i="12" s="1"/>
  <c r="BM11" i="11"/>
  <c r="BH12" i="12" s="1"/>
  <c r="CO11" i="11"/>
  <c r="CJ12" i="12" s="1"/>
  <c r="AM10" i="11"/>
  <c r="AH11" i="12" s="1"/>
  <c r="CW11" i="11"/>
  <c r="CR12" i="12" s="1"/>
  <c r="AU11" i="11"/>
  <c r="AP12" i="12" s="1"/>
  <c r="CC11" i="11"/>
  <c r="BX12" i="12" s="1"/>
  <c r="CG11" i="11"/>
  <c r="CB12" i="12" s="1"/>
  <c r="U11" i="11"/>
  <c r="P12" i="12" s="1"/>
  <c r="Z11" i="11"/>
  <c r="BS11" i="11"/>
  <c r="BN12" i="12" s="1"/>
  <c r="G11" i="11"/>
  <c r="E573" i="10"/>
  <c r="F574" i="10"/>
  <c r="U12" i="12" l="1"/>
  <c r="B12" i="12"/>
  <c r="DA10" i="12"/>
  <c r="DB10" i="12" s="1"/>
  <c r="CZ11" i="12"/>
  <c r="CY11" i="12"/>
  <c r="CX11" i="12"/>
  <c r="CO12" i="11"/>
  <c r="CJ13" i="12" s="1"/>
  <c r="CT12" i="11"/>
  <c r="CO13" i="12" s="1"/>
  <c r="BV12" i="11"/>
  <c r="BQ13" i="12" s="1"/>
  <c r="BS12" i="11"/>
  <c r="BN13" i="12" s="1"/>
  <c r="DB12" i="11"/>
  <c r="CW13" i="12" s="1"/>
  <c r="CG12" i="11"/>
  <c r="CB13" i="12" s="1"/>
  <c r="AM11" i="11"/>
  <c r="AH12" i="12" s="1"/>
  <c r="AX12" i="11"/>
  <c r="AS13" i="12" s="1"/>
  <c r="DA11" i="11"/>
  <c r="CV12" i="12" s="1"/>
  <c r="BA12" i="11"/>
  <c r="AV13" i="12" s="1"/>
  <c r="AN12" i="11"/>
  <c r="AI13" i="12" s="1"/>
  <c r="CL12" i="11"/>
  <c r="CG13" i="12" s="1"/>
  <c r="S12" i="11"/>
  <c r="N13" i="12" s="1"/>
  <c r="T12" i="11"/>
  <c r="O13" i="12" s="1"/>
  <c r="BF12" i="11"/>
  <c r="BA13" i="12" s="1"/>
  <c r="BO12" i="11"/>
  <c r="BJ13" i="12" s="1"/>
  <c r="BI12" i="11"/>
  <c r="BD13" i="12" s="1"/>
  <c r="AC12" i="11"/>
  <c r="X13" i="12" s="1"/>
  <c r="CU12" i="11"/>
  <c r="CP13" i="12" s="1"/>
  <c r="BZ12" i="11"/>
  <c r="BU13" i="12" s="1"/>
  <c r="CK12" i="11"/>
  <c r="CF13" i="12" s="1"/>
  <c r="X12" i="11"/>
  <c r="S13" i="12" s="1"/>
  <c r="W12" i="11"/>
  <c r="R13" i="12" s="1"/>
  <c r="CV12" i="11"/>
  <c r="CQ13" i="12" s="1"/>
  <c r="CJ12" i="11"/>
  <c r="CE13" i="12" s="1"/>
  <c r="AB12" i="11"/>
  <c r="W13" i="12" s="1"/>
  <c r="R11" i="11"/>
  <c r="M12" i="12" s="1"/>
  <c r="CE12" i="11"/>
  <c r="BZ13" i="12" s="1"/>
  <c r="CB12" i="11"/>
  <c r="BW13" i="12" s="1"/>
  <c r="CC12" i="11"/>
  <c r="BX13" i="12" s="1"/>
  <c r="CP12" i="11"/>
  <c r="CK13" i="12" s="1"/>
  <c r="AR12" i="11"/>
  <c r="AM13" i="12" s="1"/>
  <c r="CI12" i="11"/>
  <c r="CD13" i="12" s="1"/>
  <c r="AZ12" i="11"/>
  <c r="AU13" i="12" s="1"/>
  <c r="H12" i="11"/>
  <c r="C13" i="12" s="1"/>
  <c r="BN12" i="11"/>
  <c r="BI13" i="12" s="1"/>
  <c r="K12" i="11"/>
  <c r="F13" i="12" s="1"/>
  <c r="CZ12" i="11"/>
  <c r="CU13" i="12" s="1"/>
  <c r="BX12" i="11"/>
  <c r="BS13" i="12" s="1"/>
  <c r="BC12" i="11"/>
  <c r="AX13" i="12" s="1"/>
  <c r="AU12" i="11"/>
  <c r="AP13" i="12" s="1"/>
  <c r="AO11" i="11"/>
  <c r="AJ12" i="12" s="1"/>
  <c r="CQ12" i="11"/>
  <c r="CL13" i="12" s="1"/>
  <c r="AW12" i="11"/>
  <c r="AR13" i="12" s="1"/>
  <c r="BT11" i="11"/>
  <c r="BO12" i="12" s="1"/>
  <c r="BG12" i="11"/>
  <c r="BB13" i="12" s="1"/>
  <c r="BD12" i="11"/>
  <c r="AY13" i="12" s="1"/>
  <c r="Q12" i="11"/>
  <c r="L13" i="12" s="1"/>
  <c r="AV12" i="11"/>
  <c r="AQ13" i="12" s="1"/>
  <c r="AA12" i="11"/>
  <c r="V13" i="12" s="1"/>
  <c r="BK12" i="11"/>
  <c r="BF13" i="12" s="1"/>
  <c r="CM12" i="11"/>
  <c r="CH13" i="12" s="1"/>
  <c r="BH12" i="11"/>
  <c r="BC13" i="12" s="1"/>
  <c r="AK12" i="11"/>
  <c r="AF13" i="12" s="1"/>
  <c r="P12" i="11"/>
  <c r="K13" i="12" s="1"/>
  <c r="CX12" i="11"/>
  <c r="CS13" i="12" s="1"/>
  <c r="M12" i="11"/>
  <c r="H13" i="12" s="1"/>
  <c r="Z12" i="11"/>
  <c r="U13" i="12" s="1"/>
  <c r="BM12" i="11"/>
  <c r="BH13" i="12" s="1"/>
  <c r="AG12" i="11"/>
  <c r="AB13" i="12" s="1"/>
  <c r="AJ12" i="11"/>
  <c r="AE13" i="12" s="1"/>
  <c r="BW12" i="11"/>
  <c r="BR13" i="12" s="1"/>
  <c r="AP12" i="11"/>
  <c r="AK13" i="12" s="1"/>
  <c r="CR12" i="11"/>
  <c r="CM13" i="12" s="1"/>
  <c r="J12" i="11"/>
  <c r="E13" i="12" s="1"/>
  <c r="AD12" i="11"/>
  <c r="Y13" i="12" s="1"/>
  <c r="BP12" i="11"/>
  <c r="BK13" i="12" s="1"/>
  <c r="Y12" i="11"/>
  <c r="T13" i="12" s="1"/>
  <c r="AQ12" i="11"/>
  <c r="AL13" i="12" s="1"/>
  <c r="CN12" i="11"/>
  <c r="CI13" i="12" s="1"/>
  <c r="BU12" i="11"/>
  <c r="BP13" i="12" s="1"/>
  <c r="CA12" i="11"/>
  <c r="BV13" i="12" s="1"/>
  <c r="CH12" i="11"/>
  <c r="CC13" i="12" s="1"/>
  <c r="BB12" i="11"/>
  <c r="AW13" i="12" s="1"/>
  <c r="U12" i="11"/>
  <c r="P13" i="12" s="1"/>
  <c r="CW12" i="11"/>
  <c r="CR13" i="12" s="1"/>
  <c r="I12" i="11"/>
  <c r="D13" i="12" s="1"/>
  <c r="BJ12" i="11"/>
  <c r="BE13" i="12" s="1"/>
  <c r="AY12" i="11"/>
  <c r="AT13" i="12" s="1"/>
  <c r="BL12" i="11"/>
  <c r="BG13" i="12" s="1"/>
  <c r="BY12" i="11"/>
  <c r="BT13" i="12" s="1"/>
  <c r="CY11" i="11"/>
  <c r="CT12" i="12" s="1"/>
  <c r="BR12" i="11"/>
  <c r="BM13" i="12" s="1"/>
  <c r="AF12" i="11"/>
  <c r="AA13" i="12" s="1"/>
  <c r="AI12" i="11"/>
  <c r="AD13" i="12" s="1"/>
  <c r="AE12" i="11"/>
  <c r="Z13" i="12" s="1"/>
  <c r="AL12" i="11"/>
  <c r="AG13" i="12" s="1"/>
  <c r="BE11" i="11"/>
  <c r="AZ12" i="12" s="1"/>
  <c r="CD12" i="11"/>
  <c r="BY13" i="12" s="1"/>
  <c r="N12" i="11"/>
  <c r="I13" i="12" s="1"/>
  <c r="L12" i="11"/>
  <c r="G13" i="12" s="1"/>
  <c r="AS12" i="11"/>
  <c r="AN13" i="12" s="1"/>
  <c r="O12" i="11"/>
  <c r="J13" i="12" s="1"/>
  <c r="CF12" i="11"/>
  <c r="CA13" i="12" s="1"/>
  <c r="AT12" i="11"/>
  <c r="AO13" i="12" s="1"/>
  <c r="AH12" i="11"/>
  <c r="AC13" i="12" s="1"/>
  <c r="V12" i="11"/>
  <c r="Q13" i="12" s="1"/>
  <c r="CS12" i="11"/>
  <c r="CN13" i="12" s="1"/>
  <c r="BQ12" i="11"/>
  <c r="BL13" i="12" s="1"/>
  <c r="G12" i="11"/>
  <c r="B13" i="12" s="1"/>
  <c r="E572" i="10"/>
  <c r="F573" i="10"/>
  <c r="DA11" i="12" l="1"/>
  <c r="DB11" i="12" s="1"/>
  <c r="CZ12" i="12"/>
  <c r="CY12" i="12"/>
  <c r="CX12" i="12"/>
  <c r="AH13" i="11"/>
  <c r="AC14" i="12" s="1"/>
  <c r="AS13" i="11"/>
  <c r="AN14" i="12" s="1"/>
  <c r="BE12" i="11"/>
  <c r="AZ13" i="12" s="1"/>
  <c r="AF13" i="11"/>
  <c r="AA14" i="12" s="1"/>
  <c r="BL13" i="11"/>
  <c r="BG14" i="12" s="1"/>
  <c r="CW13" i="11"/>
  <c r="CR14" i="12" s="1"/>
  <c r="CA13" i="11"/>
  <c r="BV14" i="12" s="1"/>
  <c r="Y13" i="11"/>
  <c r="T14" i="12" s="1"/>
  <c r="CR13" i="11"/>
  <c r="CM14" i="12" s="1"/>
  <c r="AG13" i="11"/>
  <c r="AB14" i="12" s="1"/>
  <c r="CX13" i="11"/>
  <c r="CS14" i="12" s="1"/>
  <c r="CM13" i="11"/>
  <c r="CH14" i="12" s="1"/>
  <c r="Q13" i="11"/>
  <c r="L14" i="12" s="1"/>
  <c r="AW13" i="11"/>
  <c r="AR14" i="12" s="1"/>
  <c r="BC13" i="11"/>
  <c r="AX14" i="12" s="1"/>
  <c r="BN13" i="11"/>
  <c r="BI14" i="12" s="1"/>
  <c r="AR13" i="11"/>
  <c r="AM14" i="12" s="1"/>
  <c r="CE13" i="11"/>
  <c r="BZ14" i="12" s="1"/>
  <c r="CV13" i="11"/>
  <c r="CQ14" i="12" s="1"/>
  <c r="BZ13" i="11"/>
  <c r="BU14" i="12" s="1"/>
  <c r="BO13" i="11"/>
  <c r="BJ14" i="12" s="1"/>
  <c r="CL13" i="11"/>
  <c r="CG14" i="12" s="1"/>
  <c r="AX13" i="11"/>
  <c r="AS14" i="12" s="1"/>
  <c r="BS13" i="11"/>
  <c r="BN14" i="12" s="1"/>
  <c r="AT13" i="11"/>
  <c r="AO14" i="12" s="1"/>
  <c r="BR13" i="11"/>
  <c r="BM14" i="12" s="1"/>
  <c r="BU13" i="11"/>
  <c r="BP14" i="12" s="1"/>
  <c r="L13" i="11"/>
  <c r="G14" i="12" s="1"/>
  <c r="AY13" i="11"/>
  <c r="AT14" i="12" s="1"/>
  <c r="BP13" i="11"/>
  <c r="BK14" i="12" s="1"/>
  <c r="BM13" i="11"/>
  <c r="BH14" i="12" s="1"/>
  <c r="BK13" i="11"/>
  <c r="BF14" i="12" s="1"/>
  <c r="BD13" i="11"/>
  <c r="AY14" i="12" s="1"/>
  <c r="BX13" i="11"/>
  <c r="BS14" i="12" s="1"/>
  <c r="H13" i="11"/>
  <c r="C14" i="12" s="1"/>
  <c r="CP13" i="11"/>
  <c r="CK14" i="12" s="1"/>
  <c r="R12" i="11"/>
  <c r="M13" i="12" s="1"/>
  <c r="W13" i="11"/>
  <c r="R14" i="12" s="1"/>
  <c r="CU13" i="11"/>
  <c r="CP14" i="12" s="1"/>
  <c r="BF13" i="11"/>
  <c r="BA14" i="12" s="1"/>
  <c r="AN13" i="11"/>
  <c r="AI14" i="12" s="1"/>
  <c r="CF13" i="11"/>
  <c r="CA14" i="12" s="1"/>
  <c r="AE13" i="11"/>
  <c r="Z14" i="12" s="1"/>
  <c r="BJ13" i="11"/>
  <c r="BE14" i="12" s="1"/>
  <c r="CN13" i="11"/>
  <c r="CI14" i="12" s="1"/>
  <c r="BW13" i="11"/>
  <c r="BR14" i="12" s="1"/>
  <c r="AK13" i="11"/>
  <c r="AF14" i="12" s="1"/>
  <c r="BG13" i="11"/>
  <c r="BB14" i="12" s="1"/>
  <c r="AO12" i="11"/>
  <c r="AJ13" i="12" s="1"/>
  <c r="CZ13" i="11"/>
  <c r="CU14" i="12" s="1"/>
  <c r="CC13" i="11"/>
  <c r="BX14" i="12" s="1"/>
  <c r="AB13" i="11"/>
  <c r="W14" i="12" s="1"/>
  <c r="X13" i="11"/>
  <c r="S14" i="12" s="1"/>
  <c r="AC13" i="11"/>
  <c r="X14" i="12" s="1"/>
  <c r="T13" i="11"/>
  <c r="O14" i="12" s="1"/>
  <c r="BA13" i="11"/>
  <c r="AV14" i="12" s="1"/>
  <c r="CG13" i="11"/>
  <c r="CB14" i="12" s="1"/>
  <c r="CT13" i="11"/>
  <c r="CO14" i="12" s="1"/>
  <c r="BQ13" i="11"/>
  <c r="BL14" i="12" s="1"/>
  <c r="AL13" i="11"/>
  <c r="AG14" i="12" s="1"/>
  <c r="U13" i="11"/>
  <c r="P14" i="12" s="1"/>
  <c r="AP13" i="11"/>
  <c r="AK14" i="12" s="1"/>
  <c r="P13" i="11"/>
  <c r="K14" i="12" s="1"/>
  <c r="CQ13" i="11"/>
  <c r="CL14" i="12" s="1"/>
  <c r="BV13" i="11"/>
  <c r="BQ14" i="12" s="1"/>
  <c r="CS13" i="11"/>
  <c r="CN14" i="12" s="1"/>
  <c r="N13" i="11"/>
  <c r="I14" i="12" s="1"/>
  <c r="CY12" i="11"/>
  <c r="CT13" i="12" s="1"/>
  <c r="BB13" i="11"/>
  <c r="AW14" i="12" s="1"/>
  <c r="AD13" i="11"/>
  <c r="Y14" i="12" s="1"/>
  <c r="Z13" i="11"/>
  <c r="U14" i="12" s="1"/>
  <c r="AA13" i="11"/>
  <c r="V14" i="12" s="1"/>
  <c r="AZ13" i="11"/>
  <c r="AU14" i="12" s="1"/>
  <c r="AM12" i="11"/>
  <c r="AH13" i="12" s="1"/>
  <c r="V13" i="11"/>
  <c r="Q14" i="12" s="1"/>
  <c r="O13" i="11"/>
  <c r="J14" i="12" s="1"/>
  <c r="CD13" i="11"/>
  <c r="BY14" i="12" s="1"/>
  <c r="AI13" i="11"/>
  <c r="AD14" i="12" s="1"/>
  <c r="BY13" i="11"/>
  <c r="BT14" i="12" s="1"/>
  <c r="I13" i="11"/>
  <c r="D14" i="12" s="1"/>
  <c r="CH13" i="11"/>
  <c r="CC14" i="12" s="1"/>
  <c r="AQ13" i="11"/>
  <c r="AL14" i="12" s="1"/>
  <c r="J13" i="11"/>
  <c r="E14" i="12" s="1"/>
  <c r="AJ13" i="11"/>
  <c r="AE14" i="12" s="1"/>
  <c r="M13" i="11"/>
  <c r="H14" i="12" s="1"/>
  <c r="BH13" i="11"/>
  <c r="BC14" i="12" s="1"/>
  <c r="AV13" i="11"/>
  <c r="AQ14" i="12" s="1"/>
  <c r="BT12" i="11"/>
  <c r="BO13" i="12" s="1"/>
  <c r="AU13" i="11"/>
  <c r="AP14" i="12" s="1"/>
  <c r="K13" i="11"/>
  <c r="F14" i="12" s="1"/>
  <c r="CI13" i="11"/>
  <c r="CD14" i="12" s="1"/>
  <c r="CB13" i="11"/>
  <c r="BW14" i="12" s="1"/>
  <c r="CJ13" i="11"/>
  <c r="CE14" i="12" s="1"/>
  <c r="CK13" i="11"/>
  <c r="CF14" i="12" s="1"/>
  <c r="BI13" i="11"/>
  <c r="BD14" i="12" s="1"/>
  <c r="S13" i="11"/>
  <c r="N14" i="12" s="1"/>
  <c r="DA12" i="11"/>
  <c r="CV13" i="12" s="1"/>
  <c r="DB13" i="11"/>
  <c r="CW14" i="12" s="1"/>
  <c r="CO13" i="11"/>
  <c r="CJ14" i="12" s="1"/>
  <c r="G13" i="11"/>
  <c r="B14" i="12" s="1"/>
  <c r="E571" i="10"/>
  <c r="F572" i="10"/>
  <c r="DA12" i="12" l="1"/>
  <c r="DB12" i="12" s="1"/>
  <c r="CZ13" i="12"/>
  <c r="CY13" i="12"/>
  <c r="CX13" i="12"/>
  <c r="AV14" i="11"/>
  <c r="AQ15" i="12" s="1"/>
  <c r="Z14" i="11"/>
  <c r="U15" i="12" s="1"/>
  <c r="T14" i="11"/>
  <c r="O15" i="12" s="1"/>
  <c r="S14" i="11"/>
  <c r="N15" i="12" s="1"/>
  <c r="CB14" i="11"/>
  <c r="BW15" i="12" s="1"/>
  <c r="BT13" i="11"/>
  <c r="BO14" i="12" s="1"/>
  <c r="AJ14" i="11"/>
  <c r="AE15" i="12" s="1"/>
  <c r="I14" i="11"/>
  <c r="D15" i="12" s="1"/>
  <c r="O14" i="11"/>
  <c r="J15" i="12" s="1"/>
  <c r="AA14" i="11"/>
  <c r="V15" i="12" s="1"/>
  <c r="CY13" i="11"/>
  <c r="CT14" i="12" s="1"/>
  <c r="CQ14" i="11"/>
  <c r="CL15" i="12" s="1"/>
  <c r="AL14" i="11"/>
  <c r="AG15" i="12" s="1"/>
  <c r="BA14" i="11"/>
  <c r="AV15" i="12" s="1"/>
  <c r="AB14" i="11"/>
  <c r="W15" i="12" s="1"/>
  <c r="BG14" i="11"/>
  <c r="BB15" i="12" s="1"/>
  <c r="BJ14" i="11"/>
  <c r="BE15" i="12" s="1"/>
  <c r="BF14" i="11"/>
  <c r="BA15" i="12" s="1"/>
  <c r="CP14" i="11"/>
  <c r="CK15" i="12" s="1"/>
  <c r="BK14" i="11"/>
  <c r="BF15" i="12" s="1"/>
  <c r="L14" i="11"/>
  <c r="G15" i="12" s="1"/>
  <c r="BS14" i="11"/>
  <c r="BN15" i="12" s="1"/>
  <c r="BZ14" i="11"/>
  <c r="BU15" i="12" s="1"/>
  <c r="BN14" i="11"/>
  <c r="BI15" i="12" s="1"/>
  <c r="CM14" i="11"/>
  <c r="CH15" i="12" s="1"/>
  <c r="Y14" i="11"/>
  <c r="T15" i="12" s="1"/>
  <c r="AF14" i="11"/>
  <c r="AA15" i="12" s="1"/>
  <c r="CI14" i="11"/>
  <c r="CD15" i="12" s="1"/>
  <c r="BQ14" i="11"/>
  <c r="BL15" i="12" s="1"/>
  <c r="BE13" i="11"/>
  <c r="AZ14" i="12" s="1"/>
  <c r="DB14" i="11"/>
  <c r="CW15" i="12" s="1"/>
  <c r="K14" i="11"/>
  <c r="F15" i="12" s="1"/>
  <c r="AI14" i="11"/>
  <c r="AD15" i="12" s="1"/>
  <c r="AD14" i="11"/>
  <c r="Y15" i="12" s="1"/>
  <c r="AP14" i="11"/>
  <c r="AK15" i="12" s="1"/>
  <c r="AC14" i="11"/>
  <c r="X15" i="12" s="1"/>
  <c r="BW14" i="11"/>
  <c r="BR15" i="12" s="1"/>
  <c r="W14" i="11"/>
  <c r="R15" i="12" s="1"/>
  <c r="BX14" i="11"/>
  <c r="BS15" i="12" s="1"/>
  <c r="BP14" i="11"/>
  <c r="BK15" i="12" s="1"/>
  <c r="CL14" i="11"/>
  <c r="CG15" i="12" s="1"/>
  <c r="CE14" i="11"/>
  <c r="BZ15" i="12" s="1"/>
  <c r="AW14" i="11"/>
  <c r="AR15" i="12" s="1"/>
  <c r="AG14" i="11"/>
  <c r="AB15" i="12" s="1"/>
  <c r="CW14" i="11"/>
  <c r="CR15" i="12" s="1"/>
  <c r="AS14" i="11"/>
  <c r="AN15" i="12" s="1"/>
  <c r="BI14" i="11"/>
  <c r="BD15" i="12" s="1"/>
  <c r="J14" i="11"/>
  <c r="E15" i="12" s="1"/>
  <c r="V14" i="11"/>
  <c r="Q15" i="12" s="1"/>
  <c r="P14" i="11"/>
  <c r="K15" i="12" s="1"/>
  <c r="CC14" i="11"/>
  <c r="BX15" i="12" s="1"/>
  <c r="AK14" i="11"/>
  <c r="AF15" i="12" s="1"/>
  <c r="AE14" i="11"/>
  <c r="Z15" i="12" s="1"/>
  <c r="CU14" i="11"/>
  <c r="CP15" i="12" s="1"/>
  <c r="H14" i="11"/>
  <c r="C15" i="12" s="1"/>
  <c r="BM14" i="11"/>
  <c r="BH15" i="12" s="1"/>
  <c r="BU14" i="11"/>
  <c r="BP15" i="12" s="1"/>
  <c r="AX14" i="11"/>
  <c r="AS15" i="12" s="1"/>
  <c r="CV14" i="11"/>
  <c r="CQ15" i="12" s="1"/>
  <c r="BC14" i="11"/>
  <c r="AX15" i="12" s="1"/>
  <c r="CA14" i="11"/>
  <c r="BV15" i="12" s="1"/>
  <c r="CK14" i="11"/>
  <c r="CF15" i="12" s="1"/>
  <c r="BH14" i="11"/>
  <c r="BC15" i="12" s="1"/>
  <c r="AQ14" i="11"/>
  <c r="AL15" i="12" s="1"/>
  <c r="AM13" i="11"/>
  <c r="AH14" i="12" s="1"/>
  <c r="CS14" i="11"/>
  <c r="CN15" i="12" s="1"/>
  <c r="CT14" i="11"/>
  <c r="CO15" i="12" s="1"/>
  <c r="CZ14" i="11"/>
  <c r="CU15" i="12" s="1"/>
  <c r="CF14" i="11"/>
  <c r="CA15" i="12" s="1"/>
  <c r="BR14" i="11"/>
  <c r="BM15" i="12" s="1"/>
  <c r="CO14" i="11"/>
  <c r="CJ15" i="12" s="1"/>
  <c r="BY14" i="11"/>
  <c r="BT15" i="12" s="1"/>
  <c r="N14" i="11"/>
  <c r="I15" i="12" s="1"/>
  <c r="CX14" i="11"/>
  <c r="CS15" i="12" s="1"/>
  <c r="DA13" i="11"/>
  <c r="CV14" i="12" s="1"/>
  <c r="CJ14" i="11"/>
  <c r="CE15" i="12" s="1"/>
  <c r="AU14" i="11"/>
  <c r="AP15" i="12" s="1"/>
  <c r="M14" i="11"/>
  <c r="H15" i="12" s="1"/>
  <c r="CH14" i="11"/>
  <c r="CC15" i="12" s="1"/>
  <c r="CD14" i="11"/>
  <c r="BY15" i="12" s="1"/>
  <c r="AZ14" i="11"/>
  <c r="AU15" i="12" s="1"/>
  <c r="BB14" i="11"/>
  <c r="AW15" i="12" s="1"/>
  <c r="BV14" i="11"/>
  <c r="BQ15" i="12" s="1"/>
  <c r="U14" i="11"/>
  <c r="P15" i="12" s="1"/>
  <c r="CG14" i="11"/>
  <c r="CB15" i="12" s="1"/>
  <c r="X14" i="11"/>
  <c r="S15" i="12" s="1"/>
  <c r="AO13" i="11"/>
  <c r="AJ14" i="12" s="1"/>
  <c r="CN14" i="11"/>
  <c r="CI15" i="12" s="1"/>
  <c r="AN14" i="11"/>
  <c r="AI15" i="12" s="1"/>
  <c r="R13" i="11"/>
  <c r="M14" i="12" s="1"/>
  <c r="BD14" i="11"/>
  <c r="AY15" i="12" s="1"/>
  <c r="AY14" i="11"/>
  <c r="AT15" i="12" s="1"/>
  <c r="AT14" i="11"/>
  <c r="AO15" i="12" s="1"/>
  <c r="BO14" i="11"/>
  <c r="BJ15" i="12" s="1"/>
  <c r="AR14" i="11"/>
  <c r="AM15" i="12" s="1"/>
  <c r="Q14" i="11"/>
  <c r="L15" i="12" s="1"/>
  <c r="CR14" i="11"/>
  <c r="CM15" i="12" s="1"/>
  <c r="BL14" i="11"/>
  <c r="BG15" i="12" s="1"/>
  <c r="AH14" i="11"/>
  <c r="AC15" i="12" s="1"/>
  <c r="G14" i="11"/>
  <c r="B15" i="12" s="1"/>
  <c r="E570" i="10"/>
  <c r="F571" i="10"/>
  <c r="DA13" i="12" l="1"/>
  <c r="DB13" i="12" s="1"/>
  <c r="CZ14" i="12"/>
  <c r="CX14" i="12"/>
  <c r="CY14" i="12"/>
  <c r="DA14" i="11"/>
  <c r="CV15" i="12" s="1"/>
  <c r="AM14" i="11"/>
  <c r="AH15" i="12" s="1"/>
  <c r="CY14" i="11"/>
  <c r="CT15" i="12" s="1"/>
  <c r="R14" i="11"/>
  <c r="M15" i="12" s="1"/>
  <c r="BE14" i="11"/>
  <c r="AZ15" i="12" s="1"/>
  <c r="BT14" i="11"/>
  <c r="BO15" i="12" s="1"/>
  <c r="AO14" i="11"/>
  <c r="AJ15" i="12" s="1"/>
  <c r="E569" i="10"/>
  <c r="F570" i="10"/>
  <c r="DA14" i="12" l="1"/>
  <c r="DB14" i="12" s="1"/>
  <c r="E19" i="12"/>
  <c r="CZ15" i="12"/>
  <c r="CY15" i="12"/>
  <c r="CX15" i="12"/>
  <c r="E17" i="12"/>
  <c r="E18" i="12"/>
  <c r="I18" i="11"/>
  <c r="I20" i="11"/>
  <c r="I16" i="11"/>
  <c r="I19" i="11"/>
  <c r="I17" i="11"/>
  <c r="I21" i="11"/>
  <c r="E568" i="10"/>
  <c r="F569" i="10"/>
  <c r="DA15" i="12" l="1"/>
  <c r="DB15" i="12" s="1"/>
  <c r="E567" i="10"/>
  <c r="F568" i="10"/>
  <c r="E566" i="10" l="1"/>
  <c r="F567" i="10"/>
  <c r="E565" i="10" l="1"/>
  <c r="F566" i="10"/>
  <c r="E564" i="10" l="1"/>
  <c r="F565" i="10"/>
  <c r="E563" i="10" l="1"/>
  <c r="F564" i="10"/>
  <c r="E562" i="10" l="1"/>
  <c r="F563" i="10"/>
  <c r="E561" i="10" l="1"/>
  <c r="F562" i="10"/>
  <c r="E560" i="10" l="1"/>
  <c r="F561" i="10"/>
  <c r="E559" i="10" l="1"/>
  <c r="F560" i="10"/>
  <c r="E558" i="10" l="1"/>
  <c r="F559" i="10"/>
  <c r="E557" i="10" l="1"/>
  <c r="F558" i="10"/>
  <c r="E556" i="10" l="1"/>
  <c r="F557" i="10"/>
  <c r="E555" i="10" l="1"/>
  <c r="F556" i="10"/>
  <c r="E554" i="10" l="1"/>
  <c r="F555" i="10"/>
  <c r="E553" i="10" l="1"/>
  <c r="F554" i="10"/>
  <c r="E552" i="10" l="1"/>
  <c r="F553" i="10"/>
  <c r="E551" i="10" l="1"/>
  <c r="F552" i="10"/>
  <c r="E550" i="10" l="1"/>
  <c r="F551" i="10"/>
  <c r="E549" i="10" l="1"/>
  <c r="F550" i="10"/>
  <c r="E548" i="10" l="1"/>
  <c r="F549" i="10"/>
  <c r="E547" i="10" l="1"/>
  <c r="F548" i="10"/>
  <c r="E546" i="10" l="1"/>
  <c r="F547" i="10"/>
  <c r="E545" i="10" l="1"/>
  <c r="F546" i="10"/>
  <c r="E544" i="10" l="1"/>
  <c r="F545" i="10"/>
  <c r="E543" i="10" l="1"/>
  <c r="F544" i="10"/>
  <c r="E542" i="10" l="1"/>
  <c r="F543" i="10"/>
  <c r="E541" i="10" l="1"/>
  <c r="F542" i="10"/>
  <c r="E540" i="10" l="1"/>
  <c r="F541" i="10"/>
  <c r="E539" i="10" l="1"/>
  <c r="F540" i="10"/>
  <c r="E538" i="10" l="1"/>
  <c r="F539" i="10"/>
  <c r="E537" i="10" l="1"/>
  <c r="F538" i="10"/>
  <c r="E536" i="10" l="1"/>
  <c r="F537" i="10"/>
  <c r="E535" i="10" l="1"/>
  <c r="F536" i="10"/>
  <c r="E534" i="10" l="1"/>
  <c r="F535" i="10"/>
  <c r="E533" i="10" l="1"/>
  <c r="F534" i="10"/>
  <c r="E532" i="10" l="1"/>
  <c r="F533" i="10"/>
  <c r="E531" i="10" l="1"/>
  <c r="F532" i="10"/>
  <c r="E530" i="10" l="1"/>
  <c r="F531" i="10"/>
  <c r="E529" i="10" l="1"/>
  <c r="F530" i="10"/>
  <c r="E528" i="10" l="1"/>
  <c r="F529" i="10"/>
  <c r="E527" i="10" l="1"/>
  <c r="F528" i="10"/>
  <c r="E526" i="10" l="1"/>
  <c r="F527" i="10"/>
  <c r="E525" i="10" l="1"/>
  <c r="F526" i="10"/>
  <c r="E524" i="10" l="1"/>
  <c r="F525" i="10"/>
  <c r="E523" i="10" l="1"/>
  <c r="F524" i="10"/>
  <c r="E522" i="10" l="1"/>
  <c r="F523" i="10"/>
  <c r="E521" i="10" l="1"/>
  <c r="F522" i="10"/>
  <c r="E520" i="10" l="1"/>
  <c r="F521" i="10"/>
  <c r="E519" i="10" l="1"/>
  <c r="F520" i="10"/>
  <c r="E518" i="10" l="1"/>
  <c r="F519" i="10"/>
  <c r="E517" i="10" l="1"/>
  <c r="F518" i="10"/>
  <c r="E516" i="10" l="1"/>
  <c r="F517" i="10"/>
  <c r="E515" i="10" l="1"/>
  <c r="F516" i="10"/>
  <c r="E514" i="10" l="1"/>
  <c r="F515" i="10"/>
  <c r="E513" i="10" l="1"/>
  <c r="F514" i="10"/>
  <c r="E512" i="10" l="1"/>
  <c r="F513" i="10"/>
  <c r="E511" i="10" l="1"/>
  <c r="F512" i="10"/>
  <c r="E510" i="10" l="1"/>
  <c r="F511" i="10"/>
  <c r="E509" i="10" l="1"/>
  <c r="F510" i="10"/>
  <c r="E508" i="10" l="1"/>
  <c r="F509" i="10"/>
  <c r="E507" i="10" l="1"/>
  <c r="F508" i="10"/>
  <c r="E506" i="10" l="1"/>
  <c r="F507" i="10"/>
  <c r="E505" i="10" l="1"/>
  <c r="F506" i="10"/>
  <c r="E504" i="10" l="1"/>
  <c r="F505" i="10"/>
  <c r="E503" i="10" l="1"/>
  <c r="F504" i="10"/>
  <c r="E502" i="10" l="1"/>
  <c r="F503" i="10"/>
  <c r="E501" i="10" l="1"/>
  <c r="F502" i="10"/>
  <c r="E500" i="10" l="1"/>
  <c r="F501" i="10"/>
  <c r="E499" i="10" l="1"/>
  <c r="F500" i="10"/>
  <c r="E498" i="10" l="1"/>
  <c r="F499" i="10"/>
  <c r="E497" i="10" l="1"/>
  <c r="F498" i="10"/>
  <c r="E496" i="10" l="1"/>
  <c r="F497" i="10"/>
  <c r="E495" i="10" l="1"/>
  <c r="F496" i="10"/>
  <c r="E494" i="10" l="1"/>
  <c r="F495" i="10"/>
  <c r="E493" i="10" l="1"/>
  <c r="F494" i="10"/>
  <c r="E492" i="10" l="1"/>
  <c r="F493" i="10"/>
  <c r="E491" i="10" l="1"/>
  <c r="F492" i="10"/>
  <c r="E490" i="10" l="1"/>
  <c r="F491" i="10"/>
  <c r="E489" i="10" l="1"/>
  <c r="F490" i="10"/>
  <c r="E488" i="10" l="1"/>
  <c r="F489" i="10"/>
  <c r="E487" i="10" l="1"/>
  <c r="F488" i="10"/>
  <c r="E486" i="10" l="1"/>
  <c r="F487" i="10"/>
  <c r="E485" i="10" l="1"/>
  <c r="F486" i="10"/>
  <c r="E484" i="10" l="1"/>
  <c r="F485" i="10"/>
  <c r="E483" i="10" l="1"/>
  <c r="F484" i="10"/>
  <c r="E482" i="10" l="1"/>
  <c r="F483" i="10"/>
  <c r="E481" i="10" l="1"/>
  <c r="F482" i="10"/>
  <c r="E480" i="10" l="1"/>
  <c r="F481" i="10"/>
  <c r="E479" i="10" l="1"/>
  <c r="F480" i="10"/>
  <c r="E478" i="10" l="1"/>
  <c r="F479" i="10"/>
  <c r="E477" i="10" l="1"/>
  <c r="F478" i="10"/>
  <c r="E476" i="10" l="1"/>
  <c r="F477" i="10"/>
  <c r="E475" i="10" l="1"/>
  <c r="F476" i="10"/>
  <c r="E474" i="10" l="1"/>
  <c r="F475" i="10"/>
  <c r="E473" i="10" l="1"/>
  <c r="F474" i="10"/>
  <c r="E472" i="10" l="1"/>
  <c r="F473" i="10"/>
  <c r="E471" i="10" l="1"/>
  <c r="F472" i="10"/>
  <c r="E470" i="10" l="1"/>
  <c r="F471" i="10"/>
  <c r="E469" i="10" l="1"/>
  <c r="F470" i="10"/>
  <c r="E468" i="10" l="1"/>
  <c r="F469" i="10"/>
  <c r="E467" i="10" l="1"/>
  <c r="F468" i="10"/>
  <c r="E466" i="10" l="1"/>
  <c r="F467" i="10"/>
  <c r="E465" i="10" l="1"/>
  <c r="F466" i="10"/>
  <c r="E464" i="10" l="1"/>
  <c r="F465" i="10"/>
  <c r="E463" i="10" l="1"/>
  <c r="F464" i="10"/>
  <c r="E462" i="10" l="1"/>
  <c r="F463" i="10"/>
  <c r="E461" i="10" l="1"/>
  <c r="F462" i="10"/>
  <c r="E460" i="10" l="1"/>
  <c r="F461" i="10"/>
  <c r="E459" i="10" l="1"/>
  <c r="F460" i="10"/>
  <c r="E458" i="10" l="1"/>
  <c r="F459" i="10"/>
  <c r="E457" i="10" l="1"/>
  <c r="F458" i="10"/>
  <c r="E456" i="10" l="1"/>
  <c r="F457" i="10"/>
  <c r="E455" i="10" l="1"/>
  <c r="F456" i="10"/>
  <c r="E454" i="10" l="1"/>
  <c r="F455" i="10"/>
  <c r="E453" i="10" l="1"/>
  <c r="F454" i="10"/>
  <c r="E452" i="10" l="1"/>
  <c r="F453" i="10"/>
  <c r="E451" i="10" l="1"/>
  <c r="F452" i="10"/>
  <c r="E450" i="10" l="1"/>
  <c r="F451" i="10"/>
  <c r="E449" i="10" l="1"/>
  <c r="F450" i="10"/>
  <c r="E448" i="10" l="1"/>
  <c r="F449" i="10"/>
  <c r="E447" i="10" l="1"/>
  <c r="F448" i="10"/>
  <c r="E446" i="10" l="1"/>
  <c r="F447" i="10"/>
  <c r="E445" i="10" l="1"/>
  <c r="F446" i="10"/>
  <c r="E444" i="10" l="1"/>
  <c r="F445" i="10"/>
  <c r="E443" i="10" l="1"/>
  <c r="F444" i="10"/>
  <c r="E442" i="10" l="1"/>
  <c r="F443" i="10"/>
  <c r="E441" i="10" l="1"/>
  <c r="F442" i="10"/>
  <c r="E440" i="10" l="1"/>
  <c r="F441" i="10"/>
  <c r="E439" i="10" l="1"/>
  <c r="F440" i="10"/>
  <c r="E438" i="10" l="1"/>
  <c r="F439" i="10"/>
  <c r="E437" i="10" l="1"/>
  <c r="F438" i="10"/>
  <c r="E436" i="10" l="1"/>
  <c r="F437" i="10"/>
  <c r="E435" i="10" l="1"/>
  <c r="F436" i="10"/>
  <c r="E434" i="10" l="1"/>
  <c r="F435" i="10"/>
  <c r="E433" i="10" l="1"/>
  <c r="F434" i="10"/>
  <c r="E432" i="10" l="1"/>
  <c r="F433" i="10"/>
  <c r="E431" i="10" l="1"/>
  <c r="F432" i="10"/>
  <c r="E430" i="10" l="1"/>
  <c r="F431" i="10"/>
  <c r="E429" i="10" l="1"/>
  <c r="F430" i="10"/>
  <c r="E428" i="10" l="1"/>
  <c r="F429" i="10"/>
  <c r="E427" i="10" l="1"/>
  <c r="F428" i="10"/>
  <c r="E426" i="10" l="1"/>
  <c r="F427" i="10"/>
  <c r="E425" i="10" l="1"/>
  <c r="F426" i="10"/>
  <c r="E424" i="10" l="1"/>
  <c r="F425" i="10"/>
  <c r="E423" i="10" l="1"/>
  <c r="F424" i="10"/>
  <c r="E422" i="10" l="1"/>
  <c r="F423" i="10"/>
  <c r="E421" i="10" l="1"/>
  <c r="F422" i="10"/>
  <c r="E420" i="10" l="1"/>
  <c r="F421" i="10"/>
  <c r="E419" i="10" l="1"/>
  <c r="F420" i="10"/>
  <c r="E418" i="10" l="1"/>
  <c r="F419" i="10"/>
  <c r="E417" i="10" l="1"/>
  <c r="F418" i="10"/>
  <c r="E416" i="10" l="1"/>
  <c r="F417" i="10"/>
  <c r="E415" i="10" l="1"/>
  <c r="F416" i="10"/>
  <c r="E414" i="10" l="1"/>
  <c r="F415" i="10"/>
  <c r="E413" i="10" l="1"/>
  <c r="F414" i="10"/>
  <c r="E412" i="10" l="1"/>
  <c r="F413" i="10"/>
  <c r="E411" i="10" l="1"/>
  <c r="F412" i="10"/>
  <c r="E410" i="10" l="1"/>
  <c r="F411" i="10"/>
  <c r="E409" i="10" l="1"/>
  <c r="F410" i="10"/>
  <c r="E408" i="10" l="1"/>
  <c r="F409" i="10"/>
  <c r="E407" i="10" l="1"/>
  <c r="F408" i="10"/>
  <c r="E406" i="10" l="1"/>
  <c r="F407" i="10"/>
  <c r="E405" i="10" l="1"/>
  <c r="F406" i="10"/>
  <c r="E404" i="10" l="1"/>
  <c r="F405" i="10"/>
  <c r="E403" i="10" l="1"/>
  <c r="F404" i="10"/>
  <c r="E402" i="10" l="1"/>
  <c r="F403" i="10"/>
  <c r="E401" i="10" l="1"/>
  <c r="F402" i="10"/>
  <c r="E400" i="10" l="1"/>
  <c r="F401" i="10"/>
  <c r="E399" i="10" l="1"/>
  <c r="F400" i="10"/>
  <c r="E398" i="10" l="1"/>
  <c r="F399" i="10"/>
  <c r="E397" i="10" l="1"/>
  <c r="F398" i="10"/>
  <c r="E396" i="10" l="1"/>
  <c r="F397" i="10"/>
  <c r="E395" i="10" l="1"/>
  <c r="F396" i="10"/>
  <c r="E394" i="10" l="1"/>
  <c r="F395" i="10"/>
  <c r="E393" i="10" l="1"/>
  <c r="F394" i="10"/>
  <c r="E392" i="10" l="1"/>
  <c r="F393" i="10"/>
  <c r="E391" i="10" l="1"/>
  <c r="F392" i="10"/>
  <c r="E390" i="10" l="1"/>
  <c r="F391" i="10"/>
  <c r="E389" i="10" l="1"/>
  <c r="F390" i="10"/>
  <c r="E388" i="10" l="1"/>
  <c r="F389" i="10"/>
  <c r="E387" i="10" l="1"/>
  <c r="F388" i="10"/>
  <c r="E386" i="10" l="1"/>
  <c r="F387" i="10"/>
  <c r="E385" i="10" l="1"/>
  <c r="F386" i="10"/>
  <c r="E384" i="10" l="1"/>
  <c r="F385" i="10"/>
  <c r="E383" i="10" l="1"/>
  <c r="F384" i="10"/>
  <c r="E382" i="10" l="1"/>
  <c r="F383" i="10"/>
  <c r="E381" i="10" l="1"/>
  <c r="F382" i="10"/>
  <c r="E380" i="10" l="1"/>
  <c r="F381" i="10"/>
  <c r="E379" i="10" l="1"/>
  <c r="F380" i="10"/>
  <c r="E378" i="10" l="1"/>
  <c r="F379" i="10"/>
  <c r="E377" i="10" l="1"/>
  <c r="F378" i="10"/>
  <c r="E376" i="10" l="1"/>
  <c r="F377" i="10"/>
  <c r="E375" i="10" l="1"/>
  <c r="F376" i="10"/>
  <c r="E374" i="10" l="1"/>
  <c r="F375" i="10"/>
  <c r="E373" i="10" l="1"/>
  <c r="F374" i="10"/>
  <c r="E372" i="10" l="1"/>
  <c r="F373" i="10"/>
  <c r="E371" i="10" l="1"/>
  <c r="F372" i="10"/>
  <c r="E370" i="10" l="1"/>
  <c r="F371" i="10"/>
  <c r="E369" i="10" l="1"/>
  <c r="F370" i="10"/>
  <c r="E368" i="10" l="1"/>
  <c r="F369" i="10"/>
  <c r="E367" i="10" l="1"/>
  <c r="F368" i="10"/>
  <c r="E366" i="10" l="1"/>
  <c r="F367" i="10"/>
  <c r="E365" i="10" l="1"/>
  <c r="F366" i="10"/>
  <c r="E364" i="10" l="1"/>
  <c r="F365" i="10"/>
  <c r="E363" i="10" l="1"/>
  <c r="F364" i="10"/>
  <c r="E362" i="10" l="1"/>
  <c r="F363" i="10"/>
  <c r="E361" i="10" l="1"/>
  <c r="F362" i="10"/>
  <c r="E360" i="10" l="1"/>
  <c r="F361" i="10"/>
  <c r="E359" i="10" l="1"/>
  <c r="F360" i="10"/>
  <c r="E358" i="10" l="1"/>
  <c r="F359" i="10"/>
  <c r="E357" i="10" l="1"/>
  <c r="F358" i="10"/>
  <c r="E356" i="10" l="1"/>
  <c r="F357" i="10"/>
  <c r="E355" i="10" l="1"/>
  <c r="F356" i="10"/>
  <c r="E354" i="10" l="1"/>
  <c r="F355" i="10"/>
  <c r="E353" i="10" l="1"/>
  <c r="F354" i="10"/>
  <c r="E352" i="10" l="1"/>
  <c r="F353" i="10"/>
  <c r="E351" i="10" l="1"/>
  <c r="F352" i="10"/>
  <c r="E350" i="10" l="1"/>
  <c r="F351" i="10"/>
  <c r="E349" i="10" l="1"/>
  <c r="F350" i="10"/>
  <c r="E348" i="10" l="1"/>
  <c r="F349" i="10"/>
  <c r="E347" i="10" l="1"/>
  <c r="F348" i="10"/>
  <c r="E346" i="10" l="1"/>
  <c r="F347" i="10"/>
  <c r="E345" i="10" l="1"/>
  <c r="F346" i="10"/>
  <c r="E344" i="10" l="1"/>
  <c r="F345" i="10"/>
  <c r="E343" i="10" l="1"/>
  <c r="F344" i="10"/>
  <c r="E342" i="10" l="1"/>
  <c r="F343" i="10"/>
  <c r="E341" i="10" l="1"/>
  <c r="F342" i="10"/>
  <c r="E340" i="10" l="1"/>
  <c r="F341" i="10"/>
  <c r="E339" i="10" l="1"/>
  <c r="F340" i="10"/>
  <c r="E338" i="10" l="1"/>
  <c r="F339" i="10"/>
  <c r="E337" i="10" l="1"/>
  <c r="F338" i="10"/>
  <c r="E336" i="10" l="1"/>
  <c r="F337" i="10"/>
  <c r="E335" i="10" l="1"/>
  <c r="F336" i="10"/>
  <c r="E334" i="10" l="1"/>
  <c r="F335" i="10"/>
  <c r="E333" i="10" l="1"/>
  <c r="F334" i="10"/>
  <c r="E332" i="10" l="1"/>
  <c r="F333" i="10"/>
  <c r="E331" i="10" l="1"/>
  <c r="F332" i="10"/>
  <c r="E330" i="10" l="1"/>
  <c r="F331" i="10"/>
  <c r="E329" i="10" l="1"/>
  <c r="F330" i="10"/>
  <c r="E328" i="10" l="1"/>
  <c r="F329" i="10"/>
  <c r="E327" i="10" l="1"/>
  <c r="F328" i="10"/>
  <c r="E326" i="10" l="1"/>
  <c r="F327" i="10"/>
  <c r="E325" i="10" l="1"/>
  <c r="F326" i="10"/>
  <c r="E324" i="10" l="1"/>
  <c r="F325" i="10"/>
  <c r="E323" i="10" l="1"/>
  <c r="F324" i="10"/>
  <c r="E322" i="10" l="1"/>
  <c r="F323" i="10"/>
  <c r="E321" i="10" l="1"/>
  <c r="F322" i="10"/>
  <c r="E320" i="10" l="1"/>
  <c r="F321" i="10"/>
  <c r="E319" i="10" l="1"/>
  <c r="F320" i="10"/>
  <c r="E318" i="10" l="1"/>
  <c r="F319" i="10"/>
  <c r="E317" i="10" l="1"/>
  <c r="F318" i="10"/>
  <c r="E316" i="10" l="1"/>
  <c r="F317" i="10"/>
  <c r="E315" i="10" l="1"/>
  <c r="F316" i="10"/>
  <c r="E314" i="10" l="1"/>
  <c r="F315" i="10"/>
  <c r="E313" i="10" l="1"/>
  <c r="F314" i="10"/>
  <c r="E312" i="10" l="1"/>
  <c r="F313" i="10"/>
  <c r="E311" i="10" l="1"/>
  <c r="F312" i="10"/>
  <c r="E310" i="10" l="1"/>
  <c r="F311" i="10"/>
  <c r="E309" i="10" l="1"/>
  <c r="F310" i="10"/>
  <c r="E308" i="10" l="1"/>
  <c r="F309" i="10"/>
  <c r="E307" i="10" l="1"/>
  <c r="F308" i="10"/>
  <c r="E306" i="10" l="1"/>
  <c r="F307" i="10"/>
  <c r="E305" i="10" l="1"/>
  <c r="F306" i="10"/>
  <c r="E304" i="10" l="1"/>
  <c r="F305" i="10"/>
  <c r="E303" i="10" l="1"/>
  <c r="F304" i="10"/>
  <c r="E302" i="10" l="1"/>
  <c r="F303" i="10"/>
  <c r="E301" i="10" l="1"/>
  <c r="F302" i="10"/>
  <c r="E300" i="10" l="1"/>
  <c r="F301" i="10"/>
  <c r="E299" i="10" l="1"/>
  <c r="F300" i="10"/>
  <c r="E298" i="10" l="1"/>
  <c r="F299" i="10"/>
  <c r="E297" i="10" l="1"/>
  <c r="F298" i="10"/>
  <c r="E296" i="10" l="1"/>
  <c r="F297" i="10"/>
  <c r="E295" i="10" l="1"/>
  <c r="F296" i="10"/>
  <c r="E294" i="10" l="1"/>
  <c r="F295" i="10"/>
  <c r="E293" i="10" l="1"/>
  <c r="F294" i="10"/>
  <c r="E292" i="10" l="1"/>
  <c r="F293" i="10"/>
  <c r="E291" i="10" l="1"/>
  <c r="F292" i="10"/>
  <c r="E290" i="10" l="1"/>
  <c r="F291" i="10"/>
  <c r="E289" i="10" l="1"/>
  <c r="F290" i="10"/>
  <c r="E288" i="10" l="1"/>
  <c r="F289" i="10"/>
  <c r="E287" i="10" l="1"/>
  <c r="F288" i="10"/>
  <c r="E286" i="10" l="1"/>
  <c r="F287" i="10"/>
  <c r="E285" i="10" l="1"/>
  <c r="F286" i="10"/>
  <c r="E284" i="10" l="1"/>
  <c r="F285" i="10"/>
  <c r="E283" i="10" l="1"/>
  <c r="F284" i="10"/>
  <c r="E282" i="10" l="1"/>
  <c r="F283" i="10"/>
  <c r="E281" i="10" l="1"/>
  <c r="F282" i="10"/>
  <c r="E280" i="10" l="1"/>
  <c r="F281" i="10"/>
  <c r="E279" i="10" l="1"/>
  <c r="F280" i="10"/>
  <c r="E278" i="10" l="1"/>
  <c r="F279" i="10"/>
  <c r="E277" i="10" l="1"/>
  <c r="F278" i="10"/>
  <c r="E276" i="10" l="1"/>
  <c r="F277" i="10"/>
  <c r="E275" i="10" l="1"/>
  <c r="F276" i="10"/>
  <c r="E274" i="10" l="1"/>
  <c r="F275" i="10"/>
  <c r="E273" i="10" l="1"/>
  <c r="F274" i="10"/>
  <c r="E272" i="10" l="1"/>
  <c r="F273" i="10"/>
  <c r="E271" i="10" l="1"/>
  <c r="F272" i="10"/>
  <c r="E270" i="10" l="1"/>
  <c r="F271" i="10"/>
  <c r="E269" i="10" l="1"/>
  <c r="F270" i="10"/>
  <c r="E268" i="10" l="1"/>
  <c r="F269" i="10"/>
  <c r="E267" i="10" l="1"/>
  <c r="F268" i="10"/>
  <c r="E266" i="10" l="1"/>
  <c r="F267" i="10"/>
  <c r="E265" i="10" l="1"/>
  <c r="F266" i="10"/>
  <c r="E264" i="10" l="1"/>
  <c r="F265" i="10"/>
  <c r="E263" i="10" l="1"/>
  <c r="F264" i="10"/>
  <c r="E262" i="10" l="1"/>
  <c r="F263" i="10"/>
  <c r="E261" i="10" l="1"/>
  <c r="F262" i="10"/>
  <c r="E260" i="10" l="1"/>
  <c r="F261" i="10"/>
  <c r="E259" i="10" l="1"/>
  <c r="F260" i="10"/>
  <c r="E258" i="10" l="1"/>
  <c r="F259" i="10"/>
  <c r="E257" i="10" l="1"/>
  <c r="F258" i="10"/>
  <c r="E256" i="10" l="1"/>
  <c r="F257" i="10"/>
  <c r="E255" i="10" l="1"/>
  <c r="F256" i="10"/>
  <c r="E254" i="10" l="1"/>
  <c r="F255" i="10"/>
  <c r="E253" i="10" l="1"/>
  <c r="F254" i="10"/>
  <c r="E252" i="10" l="1"/>
  <c r="F253" i="10"/>
  <c r="E251" i="10" l="1"/>
  <c r="F252" i="10"/>
  <c r="E250" i="10" l="1"/>
  <c r="F251" i="10"/>
  <c r="E249" i="10" l="1"/>
  <c r="F250" i="10"/>
  <c r="E248" i="10" l="1"/>
  <c r="F249" i="10"/>
  <c r="E247" i="10" l="1"/>
  <c r="F248" i="10"/>
  <c r="E246" i="10" l="1"/>
  <c r="F247" i="10"/>
  <c r="E245" i="10" l="1"/>
  <c r="F246" i="10"/>
  <c r="E244" i="10" l="1"/>
  <c r="F245" i="10"/>
  <c r="E243" i="10" l="1"/>
  <c r="F244" i="10"/>
  <c r="E242" i="10" l="1"/>
  <c r="F243" i="10"/>
  <c r="E241" i="10" l="1"/>
  <c r="F242" i="10"/>
  <c r="E240" i="10" l="1"/>
  <c r="F241" i="10"/>
  <c r="E239" i="10" l="1"/>
  <c r="F240" i="10"/>
  <c r="E238" i="10" l="1"/>
  <c r="F239" i="10"/>
  <c r="E237" i="10" l="1"/>
  <c r="F238" i="10"/>
  <c r="E236" i="10" l="1"/>
  <c r="F237" i="10"/>
  <c r="E235" i="10" l="1"/>
  <c r="F236" i="10"/>
  <c r="E234" i="10" l="1"/>
  <c r="F235" i="10"/>
  <c r="E233" i="10" l="1"/>
  <c r="F234" i="10"/>
  <c r="E232" i="10" l="1"/>
  <c r="F233" i="10"/>
  <c r="E231" i="10" l="1"/>
  <c r="F232" i="10"/>
  <c r="E230" i="10" l="1"/>
  <c r="F231" i="10"/>
  <c r="E229" i="10" l="1"/>
  <c r="F230" i="10"/>
  <c r="E228" i="10" l="1"/>
  <c r="F229" i="10"/>
  <c r="E227" i="10" l="1"/>
  <c r="F228" i="10"/>
  <c r="E226" i="10" l="1"/>
  <c r="F227" i="10"/>
  <c r="E225" i="10" l="1"/>
  <c r="F226" i="10"/>
  <c r="E224" i="10" l="1"/>
  <c r="F225" i="10"/>
  <c r="E223" i="10" l="1"/>
  <c r="F224" i="10"/>
  <c r="E222" i="10" l="1"/>
  <c r="F223" i="10"/>
  <c r="E221" i="10" l="1"/>
  <c r="F222" i="10"/>
  <c r="E220" i="10" l="1"/>
  <c r="F221" i="10"/>
  <c r="E219" i="10" l="1"/>
  <c r="F220" i="10"/>
  <c r="E218" i="10" l="1"/>
  <c r="F219" i="10"/>
  <c r="E217" i="10" l="1"/>
  <c r="F218" i="10"/>
  <c r="E216" i="10" l="1"/>
  <c r="F217" i="10"/>
  <c r="E215" i="10" l="1"/>
  <c r="F216" i="10"/>
  <c r="E214" i="10" l="1"/>
  <c r="F215" i="10"/>
  <c r="E213" i="10" l="1"/>
  <c r="F214" i="10"/>
  <c r="E212" i="10" l="1"/>
  <c r="F213" i="10"/>
  <c r="E211" i="10" l="1"/>
  <c r="F212" i="10"/>
  <c r="N212" i="10" s="1"/>
  <c r="E210" i="10" l="1"/>
  <c r="F211" i="10"/>
  <c r="N211" i="10" s="1"/>
  <c r="E209" i="10" l="1"/>
  <c r="F210" i="10"/>
  <c r="N210" i="10" s="1"/>
  <c r="E208" i="10" l="1"/>
  <c r="F209" i="10"/>
  <c r="N209" i="10" s="1"/>
  <c r="E207" i="10" l="1"/>
  <c r="F208" i="10"/>
  <c r="N208" i="10" s="1"/>
  <c r="E206" i="10" l="1"/>
  <c r="F207" i="10"/>
  <c r="N207" i="10" s="1"/>
  <c r="E205" i="10" l="1"/>
  <c r="F206" i="10"/>
  <c r="N206" i="10" s="1"/>
  <c r="E204" i="10" l="1"/>
  <c r="F205" i="10"/>
  <c r="N205" i="10" s="1"/>
  <c r="E203" i="10" l="1"/>
  <c r="F204" i="10"/>
  <c r="N204" i="10" s="1"/>
  <c r="E202" i="10" l="1"/>
  <c r="F203" i="10"/>
  <c r="N203" i="10" s="1"/>
  <c r="E201" i="10" l="1"/>
  <c r="F202" i="10"/>
  <c r="N202" i="10" s="1"/>
  <c r="E200" i="10" l="1"/>
  <c r="F201" i="10"/>
  <c r="N201" i="10" s="1"/>
  <c r="E199" i="10" l="1"/>
  <c r="F200" i="10"/>
  <c r="N200" i="10" s="1"/>
  <c r="E198" i="10" l="1"/>
  <c r="F199" i="10"/>
  <c r="N199" i="10" s="1"/>
  <c r="E197" i="10" l="1"/>
  <c r="F198" i="10"/>
  <c r="N198" i="10" s="1"/>
  <c r="E196" i="10" l="1"/>
  <c r="F197" i="10"/>
  <c r="N197" i="10" s="1"/>
  <c r="E195" i="10" l="1"/>
  <c r="F196" i="10"/>
  <c r="N196" i="10" s="1"/>
  <c r="E194" i="10" l="1"/>
  <c r="F195" i="10"/>
  <c r="N195" i="10" s="1"/>
  <c r="E193" i="10" l="1"/>
  <c r="F194" i="10"/>
  <c r="N194" i="10" s="1"/>
  <c r="E192" i="10" l="1"/>
  <c r="F193" i="10"/>
  <c r="N193" i="10" s="1"/>
  <c r="E191" i="10" l="1"/>
  <c r="F192" i="10"/>
  <c r="N192" i="10" s="1"/>
  <c r="E190" i="10" l="1"/>
  <c r="F191" i="10"/>
  <c r="N191" i="10" s="1"/>
  <c r="E189" i="10" l="1"/>
  <c r="F190" i="10"/>
  <c r="N190" i="10" s="1"/>
  <c r="E188" i="10" l="1"/>
  <c r="F189" i="10"/>
  <c r="N189" i="10" s="1"/>
  <c r="E187" i="10" l="1"/>
  <c r="F188" i="10"/>
  <c r="N188" i="10" s="1"/>
  <c r="E186" i="10" l="1"/>
  <c r="F187" i="10"/>
  <c r="N187" i="10" s="1"/>
  <c r="E185" i="10" l="1"/>
  <c r="F186" i="10"/>
  <c r="N186" i="10" s="1"/>
  <c r="E184" i="10" l="1"/>
  <c r="F185" i="10"/>
  <c r="N185" i="10" s="1"/>
  <c r="E183" i="10" l="1"/>
  <c r="F184" i="10"/>
  <c r="N184" i="10" s="1"/>
  <c r="E182" i="10" l="1"/>
  <c r="F183" i="10"/>
  <c r="N183" i="10" s="1"/>
  <c r="E181" i="10" l="1"/>
  <c r="F182" i="10"/>
  <c r="N182" i="10" s="1"/>
  <c r="E180" i="10" l="1"/>
  <c r="F181" i="10"/>
  <c r="N181" i="10" s="1"/>
  <c r="E179" i="10" l="1"/>
  <c r="F180" i="10"/>
  <c r="N180" i="10" s="1"/>
  <c r="E178" i="10" l="1"/>
  <c r="F179" i="10"/>
  <c r="N179" i="10" s="1"/>
  <c r="E177" i="10" l="1"/>
  <c r="F178" i="10"/>
  <c r="N178" i="10" s="1"/>
  <c r="E176" i="10" l="1"/>
  <c r="F177" i="10"/>
  <c r="N177" i="10" s="1"/>
  <c r="E175" i="10" l="1"/>
  <c r="F176" i="10"/>
  <c r="N176" i="10" s="1"/>
  <c r="E174" i="10" l="1"/>
  <c r="F175" i="10"/>
  <c r="N175" i="10" s="1"/>
  <c r="E173" i="10" l="1"/>
  <c r="F174" i="10"/>
  <c r="N174" i="10" s="1"/>
  <c r="E172" i="10" l="1"/>
  <c r="F173" i="10"/>
  <c r="N173" i="10" s="1"/>
  <c r="E171" i="10" l="1"/>
  <c r="F172" i="10"/>
  <c r="N172" i="10" s="1"/>
  <c r="E170" i="10" l="1"/>
  <c r="F171" i="10"/>
  <c r="N171" i="10" s="1"/>
  <c r="E169" i="10" l="1"/>
  <c r="F170" i="10"/>
  <c r="N170" i="10" s="1"/>
  <c r="E168" i="10" l="1"/>
  <c r="F169" i="10"/>
  <c r="N169" i="10" s="1"/>
  <c r="E167" i="10" l="1"/>
  <c r="F168" i="10"/>
  <c r="N168" i="10" s="1"/>
  <c r="E166" i="10" l="1"/>
  <c r="F167" i="10"/>
  <c r="N167" i="10" s="1"/>
  <c r="E165" i="10" l="1"/>
  <c r="F166" i="10"/>
  <c r="N166" i="10" s="1"/>
  <c r="E164" i="10" l="1"/>
  <c r="F165" i="10"/>
  <c r="N165" i="10" s="1"/>
  <c r="E163" i="10" l="1"/>
  <c r="F164" i="10"/>
  <c r="N164" i="10" s="1"/>
  <c r="E162" i="10" l="1"/>
  <c r="F163" i="10"/>
  <c r="N163" i="10" s="1"/>
  <c r="E161" i="10" l="1"/>
  <c r="F162" i="10"/>
  <c r="N162" i="10" s="1"/>
  <c r="E160" i="10" l="1"/>
  <c r="F161" i="10"/>
  <c r="N161" i="10" s="1"/>
  <c r="E159" i="10" l="1"/>
  <c r="F160" i="10"/>
  <c r="N160" i="10" s="1"/>
  <c r="E158" i="10" l="1"/>
  <c r="F159" i="10"/>
  <c r="N159" i="10" s="1"/>
  <c r="E157" i="10" l="1"/>
  <c r="F158" i="10"/>
  <c r="N158" i="10" s="1"/>
  <c r="E156" i="10" l="1"/>
  <c r="F157" i="10"/>
  <c r="N157" i="10" s="1"/>
  <c r="E155" i="10" l="1"/>
  <c r="F156" i="10"/>
  <c r="N156" i="10" s="1"/>
  <c r="E154" i="10" l="1"/>
  <c r="F155" i="10"/>
  <c r="N155" i="10" s="1"/>
  <c r="E153" i="10" l="1"/>
  <c r="F154" i="10"/>
  <c r="N154" i="10" s="1"/>
  <c r="E152" i="10" l="1"/>
  <c r="F153" i="10"/>
  <c r="N153" i="10" s="1"/>
  <c r="E151" i="10" l="1"/>
  <c r="F152" i="10"/>
  <c r="N152" i="10" s="1"/>
  <c r="E150" i="10" l="1"/>
  <c r="F151" i="10"/>
  <c r="N151" i="10" s="1"/>
  <c r="E149" i="10" l="1"/>
  <c r="F150" i="10"/>
  <c r="N150" i="10" s="1"/>
  <c r="E148" i="10" l="1"/>
  <c r="F149" i="10"/>
  <c r="N149" i="10" s="1"/>
  <c r="E147" i="10" l="1"/>
  <c r="F148" i="10"/>
  <c r="N148" i="10" s="1"/>
  <c r="E146" i="10" l="1"/>
  <c r="F147" i="10"/>
  <c r="N147" i="10" s="1"/>
  <c r="E145" i="10" l="1"/>
  <c r="F146" i="10"/>
  <c r="N146" i="10" s="1"/>
  <c r="E144" i="10" l="1"/>
  <c r="F145" i="10"/>
  <c r="N145" i="10" s="1"/>
  <c r="E143" i="10" l="1"/>
  <c r="F144" i="10"/>
  <c r="N144" i="10" s="1"/>
  <c r="E142" i="10" l="1"/>
  <c r="F143" i="10"/>
  <c r="N143" i="10" s="1"/>
  <c r="E141" i="10" l="1"/>
  <c r="F142" i="10"/>
  <c r="N142" i="10" s="1"/>
  <c r="E140" i="10" l="1"/>
  <c r="F141" i="10"/>
  <c r="N141" i="10" s="1"/>
  <c r="E139" i="10" l="1"/>
  <c r="F140" i="10"/>
  <c r="N140" i="10" s="1"/>
  <c r="E138" i="10" l="1"/>
  <c r="F139" i="10"/>
  <c r="N139" i="10" s="1"/>
  <c r="E137" i="10" l="1"/>
  <c r="F138" i="10"/>
  <c r="N138" i="10" s="1"/>
  <c r="E136" i="10" l="1"/>
  <c r="F137" i="10"/>
  <c r="N137" i="10" s="1"/>
  <c r="E135" i="10" l="1"/>
  <c r="F136" i="10"/>
  <c r="N136" i="10" s="1"/>
  <c r="E134" i="10" l="1"/>
  <c r="F135" i="10"/>
  <c r="N135" i="10" s="1"/>
  <c r="E133" i="10" l="1"/>
  <c r="F134" i="10"/>
  <c r="N134" i="10" s="1"/>
  <c r="E132" i="10" l="1"/>
  <c r="F133" i="10"/>
  <c r="N133" i="10" s="1"/>
  <c r="E131" i="10" l="1"/>
  <c r="F132" i="10"/>
  <c r="N132" i="10" s="1"/>
  <c r="E130" i="10" l="1"/>
  <c r="F131" i="10"/>
  <c r="N131" i="10" s="1"/>
  <c r="E129" i="10" l="1"/>
  <c r="F130" i="10"/>
  <c r="N130" i="10" s="1"/>
  <c r="E128" i="10" l="1"/>
  <c r="F129" i="10"/>
  <c r="N129" i="10" s="1"/>
  <c r="E127" i="10" l="1"/>
  <c r="F128" i="10"/>
  <c r="N128" i="10" s="1"/>
  <c r="E126" i="10" l="1"/>
  <c r="F127" i="10"/>
  <c r="N127" i="10" s="1"/>
  <c r="E125" i="10" l="1"/>
  <c r="F126" i="10"/>
  <c r="N126" i="10" s="1"/>
  <c r="E124" i="10" l="1"/>
  <c r="F125" i="10"/>
  <c r="N125" i="10" s="1"/>
  <c r="E123" i="10" l="1"/>
  <c r="F124" i="10"/>
  <c r="N124" i="10" s="1"/>
  <c r="E122" i="10" l="1"/>
  <c r="F123" i="10"/>
  <c r="N123" i="10" s="1"/>
  <c r="E121" i="10" l="1"/>
  <c r="F122" i="10"/>
  <c r="N122" i="10" s="1"/>
  <c r="E120" i="10" l="1"/>
  <c r="F121" i="10"/>
  <c r="N121" i="10" s="1"/>
  <c r="E119" i="10" l="1"/>
  <c r="F120" i="10"/>
  <c r="N120" i="10" s="1"/>
  <c r="E118" i="10" l="1"/>
  <c r="F119" i="10"/>
  <c r="N119" i="10" s="1"/>
  <c r="E117" i="10" l="1"/>
  <c r="F118" i="10"/>
  <c r="N118" i="10" s="1"/>
  <c r="E116" i="10" l="1"/>
  <c r="F117" i="10"/>
  <c r="N117" i="10" s="1"/>
  <c r="E115" i="10" l="1"/>
  <c r="F116" i="10"/>
  <c r="N116" i="10" s="1"/>
  <c r="E114" i="10" l="1"/>
  <c r="F115" i="10"/>
  <c r="N115" i="10" s="1"/>
  <c r="E113" i="10" l="1"/>
  <c r="F114" i="10"/>
  <c r="N114" i="10" s="1"/>
  <c r="E112" i="10" l="1"/>
  <c r="F113" i="10"/>
  <c r="N113" i="10" s="1"/>
  <c r="E111" i="10" l="1"/>
  <c r="F112" i="10"/>
  <c r="N112" i="10" s="1"/>
  <c r="E110" i="10" l="1"/>
  <c r="F111" i="10"/>
  <c r="N111" i="10" s="1"/>
  <c r="E109" i="10" l="1"/>
  <c r="F110" i="10"/>
  <c r="N110" i="10" s="1"/>
  <c r="E108" i="10" l="1"/>
  <c r="F109" i="10"/>
  <c r="N109" i="10" s="1"/>
  <c r="E107" i="10" l="1"/>
  <c r="F108" i="10"/>
  <c r="N108" i="10" s="1"/>
  <c r="E106" i="10" l="1"/>
  <c r="F107" i="10"/>
  <c r="N107" i="10" s="1"/>
  <c r="E105" i="10" l="1"/>
  <c r="F106" i="10"/>
  <c r="N106" i="10" s="1"/>
  <c r="E104" i="10" l="1"/>
  <c r="F105" i="10"/>
  <c r="N105" i="10" s="1"/>
  <c r="E103" i="10" l="1"/>
  <c r="F104" i="10"/>
  <c r="N104" i="10" s="1"/>
  <c r="E102" i="10" l="1"/>
  <c r="F103" i="10"/>
  <c r="N103" i="10" s="1"/>
  <c r="E101" i="10" l="1"/>
  <c r="F102" i="10"/>
  <c r="N102" i="10" s="1"/>
  <c r="E100" i="10" l="1"/>
  <c r="F101" i="10"/>
  <c r="N101" i="10" s="1"/>
  <c r="E99" i="10" l="1"/>
  <c r="F100" i="10"/>
  <c r="N100" i="10" s="1"/>
  <c r="E98" i="10" l="1"/>
  <c r="F99" i="10"/>
  <c r="N99" i="10" s="1"/>
  <c r="E97" i="10" l="1"/>
  <c r="F98" i="10"/>
  <c r="N98" i="10" s="1"/>
  <c r="E96" i="10" l="1"/>
  <c r="F97" i="10"/>
  <c r="N97" i="10" s="1"/>
  <c r="E95" i="10" l="1"/>
  <c r="F96" i="10"/>
  <c r="N96" i="10" s="1"/>
  <c r="E94" i="10" l="1"/>
  <c r="F95" i="10"/>
  <c r="N95" i="10" s="1"/>
  <c r="E93" i="10" l="1"/>
  <c r="F94" i="10"/>
  <c r="N94" i="10" s="1"/>
  <c r="E92" i="10" l="1"/>
  <c r="F93" i="10"/>
  <c r="N93" i="10" s="1"/>
  <c r="E91" i="10" l="1"/>
  <c r="F92" i="10"/>
  <c r="N92" i="10" s="1"/>
  <c r="E90" i="10" l="1"/>
  <c r="F91" i="10"/>
  <c r="N91" i="10" s="1"/>
  <c r="E89" i="10" l="1"/>
  <c r="F90" i="10"/>
  <c r="N90" i="10" s="1"/>
  <c r="E88" i="10" l="1"/>
  <c r="F89" i="10"/>
  <c r="N89" i="10" s="1"/>
  <c r="E87" i="10" l="1"/>
  <c r="F88" i="10"/>
  <c r="N88" i="10" s="1"/>
  <c r="E86" i="10" l="1"/>
  <c r="F87" i="10"/>
  <c r="N87" i="10" s="1"/>
  <c r="E85" i="10" l="1"/>
  <c r="F86" i="10"/>
  <c r="N86" i="10" s="1"/>
  <c r="E84" i="10" l="1"/>
  <c r="F85" i="10"/>
  <c r="N85" i="10" s="1"/>
  <c r="E83" i="10" l="1"/>
  <c r="F84" i="10"/>
  <c r="N84" i="10" s="1"/>
  <c r="E82" i="10" l="1"/>
  <c r="F83" i="10"/>
  <c r="N83" i="10" s="1"/>
  <c r="E81" i="10" l="1"/>
  <c r="F82" i="10"/>
  <c r="N82" i="10" s="1"/>
  <c r="E80" i="10" l="1"/>
  <c r="F81" i="10"/>
  <c r="N81" i="10" s="1"/>
  <c r="E79" i="10" l="1"/>
  <c r="F80" i="10"/>
  <c r="N80" i="10" s="1"/>
  <c r="E78" i="10" l="1"/>
  <c r="F79" i="10"/>
  <c r="N79" i="10" s="1"/>
  <c r="E77" i="10" l="1"/>
  <c r="F78" i="10"/>
  <c r="N78" i="10" s="1"/>
  <c r="E76" i="10" l="1"/>
  <c r="F77" i="10"/>
  <c r="N77" i="10" s="1"/>
  <c r="E75" i="10" l="1"/>
  <c r="F76" i="10"/>
  <c r="N76" i="10" s="1"/>
  <c r="E74" i="10" l="1"/>
  <c r="F75" i="10"/>
  <c r="N75" i="10" s="1"/>
  <c r="E73" i="10" l="1"/>
  <c r="F74" i="10"/>
  <c r="N74" i="10" s="1"/>
  <c r="E72" i="10" l="1"/>
  <c r="F73" i="10"/>
  <c r="N73" i="10" s="1"/>
  <c r="E71" i="10" l="1"/>
  <c r="F72" i="10"/>
  <c r="N72" i="10" s="1"/>
  <c r="E70" i="10" l="1"/>
  <c r="F71" i="10"/>
  <c r="N71" i="10" s="1"/>
  <c r="E69" i="10" l="1"/>
  <c r="F70" i="10"/>
  <c r="N70" i="10" s="1"/>
  <c r="E68" i="10" l="1"/>
  <c r="F69" i="10"/>
  <c r="N69" i="10" s="1"/>
  <c r="E67" i="10" l="1"/>
  <c r="F68" i="10"/>
  <c r="N68" i="10" s="1"/>
  <c r="E66" i="10" l="1"/>
  <c r="F67" i="10"/>
  <c r="N67" i="10" s="1"/>
  <c r="E65" i="10" l="1"/>
  <c r="F66" i="10"/>
  <c r="N66" i="10" s="1"/>
  <c r="E64" i="10" l="1"/>
  <c r="F65" i="10"/>
  <c r="N65" i="10" s="1"/>
  <c r="E63" i="10" l="1"/>
  <c r="F64" i="10"/>
  <c r="N64" i="10" s="1"/>
  <c r="E62" i="10" l="1"/>
  <c r="F63" i="10"/>
  <c r="N63" i="10" s="1"/>
  <c r="E61" i="10" l="1"/>
  <c r="F62" i="10"/>
  <c r="N62" i="10" s="1"/>
  <c r="E60" i="10" l="1"/>
  <c r="F61" i="10"/>
  <c r="N61" i="10" s="1"/>
  <c r="E59" i="10" l="1"/>
  <c r="F60" i="10"/>
  <c r="N60" i="10" s="1"/>
  <c r="E58" i="10" l="1"/>
  <c r="F59" i="10"/>
  <c r="N59" i="10" s="1"/>
  <c r="E57" i="10" l="1"/>
  <c r="F58" i="10"/>
  <c r="N58" i="10" s="1"/>
  <c r="E56" i="10" l="1"/>
  <c r="F57" i="10"/>
  <c r="N57" i="10" s="1"/>
  <c r="E55" i="10" l="1"/>
  <c r="F56" i="10"/>
  <c r="N56" i="10" s="1"/>
  <c r="E54" i="10" l="1"/>
  <c r="F55" i="10"/>
  <c r="N55" i="10" s="1"/>
  <c r="E53" i="10" l="1"/>
  <c r="F54" i="10"/>
  <c r="N54" i="10" s="1"/>
  <c r="E52" i="10" l="1"/>
  <c r="F53" i="10"/>
  <c r="N53" i="10" s="1"/>
  <c r="E51" i="10" l="1"/>
  <c r="F52" i="10"/>
  <c r="N52" i="10" s="1"/>
  <c r="E50" i="10" l="1"/>
  <c r="F51" i="10"/>
  <c r="N51" i="10" s="1"/>
  <c r="E49" i="10" l="1"/>
  <c r="F50" i="10"/>
  <c r="N50" i="10" s="1"/>
  <c r="E48" i="10" l="1"/>
  <c r="F49" i="10"/>
  <c r="N49" i="10" s="1"/>
  <c r="E47" i="10" l="1"/>
  <c r="F48" i="10"/>
  <c r="N48" i="10" s="1"/>
  <c r="E46" i="10" l="1"/>
  <c r="F47" i="10"/>
  <c r="N47" i="10" s="1"/>
  <c r="E45" i="10" l="1"/>
  <c r="F46" i="10"/>
  <c r="N46" i="10" s="1"/>
  <c r="E44" i="10" l="1"/>
  <c r="F45" i="10"/>
  <c r="N45" i="10" s="1"/>
  <c r="E43" i="10" l="1"/>
  <c r="F44" i="10"/>
  <c r="N44" i="10" s="1"/>
  <c r="E42" i="10" l="1"/>
  <c r="F43" i="10"/>
  <c r="N43" i="10" s="1"/>
  <c r="E41" i="10" l="1"/>
  <c r="F42" i="10"/>
  <c r="N42" i="10" s="1"/>
  <c r="E40" i="10" l="1"/>
  <c r="F41" i="10"/>
  <c r="N41" i="10" s="1"/>
  <c r="E39" i="10" l="1"/>
  <c r="F40" i="10"/>
  <c r="N40" i="10" s="1"/>
  <c r="E38" i="10" l="1"/>
  <c r="F39" i="10"/>
  <c r="N39" i="10" s="1"/>
  <c r="E37" i="10" l="1"/>
  <c r="F38" i="10"/>
  <c r="N38" i="10" s="1"/>
  <c r="E36" i="10" l="1"/>
  <c r="F37" i="10"/>
  <c r="N37" i="10" s="1"/>
  <c r="E35" i="10" l="1"/>
  <c r="F36" i="10"/>
  <c r="N36" i="10" s="1"/>
  <c r="E34" i="10" l="1"/>
  <c r="F35" i="10"/>
  <c r="N35" i="10" s="1"/>
  <c r="E33" i="10" l="1"/>
  <c r="F34" i="10"/>
  <c r="N34" i="10" s="1"/>
  <c r="E32" i="10" l="1"/>
  <c r="F33" i="10"/>
  <c r="N33" i="10" s="1"/>
  <c r="E31" i="10" l="1"/>
  <c r="F32" i="10"/>
  <c r="N32" i="10" s="1"/>
  <c r="E30" i="10" l="1"/>
  <c r="F31" i="10"/>
  <c r="N31" i="10" s="1"/>
  <c r="E29" i="10" l="1"/>
  <c r="F30" i="10"/>
  <c r="N30" i="10" s="1"/>
  <c r="E28" i="10" l="1"/>
  <c r="F29" i="10"/>
  <c r="N29" i="10" s="1"/>
  <c r="E27" i="10" l="1"/>
  <c r="F28" i="10"/>
  <c r="N28" i="10" s="1"/>
  <c r="E26" i="10" l="1"/>
  <c r="F27" i="10"/>
  <c r="N27" i="10" s="1"/>
  <c r="E25" i="10" l="1"/>
  <c r="F26" i="10"/>
  <c r="N26" i="10" s="1"/>
  <c r="E24" i="10" l="1"/>
  <c r="F25" i="10"/>
  <c r="N25" i="10" s="1"/>
  <c r="E23" i="10" l="1"/>
  <c r="F24" i="10"/>
  <c r="N24" i="10" s="1"/>
  <c r="E22" i="10" l="1"/>
  <c r="F23" i="10"/>
  <c r="N23" i="10" s="1"/>
  <c r="E21" i="10" l="1"/>
  <c r="F22" i="10"/>
  <c r="N22" i="10" s="1"/>
  <c r="E20" i="10" l="1"/>
  <c r="F21" i="10"/>
  <c r="N21" i="10" s="1"/>
  <c r="E19" i="10" l="1"/>
  <c r="F20" i="10"/>
  <c r="N20" i="10" s="1"/>
  <c r="E18" i="10" l="1"/>
  <c r="F19" i="10"/>
  <c r="N19" i="10" s="1"/>
  <c r="E17" i="10" l="1"/>
  <c r="F18" i="10"/>
  <c r="N18" i="10" s="1"/>
  <c r="E16" i="10" l="1"/>
  <c r="F17" i="10"/>
  <c r="N17" i="10" s="1"/>
  <c r="E15" i="10" l="1"/>
  <c r="F16" i="10"/>
  <c r="N16" i="10" s="1"/>
  <c r="E14" i="10" l="1"/>
  <c r="F15" i="10"/>
  <c r="N15" i="10" s="1"/>
  <c r="E13" i="10" l="1"/>
  <c r="E12" i="10" s="1"/>
  <c r="E11" i="10" s="1"/>
  <c r="E10" i="10" s="1"/>
  <c r="E9" i="10" s="1"/>
  <c r="E8" i="10" s="1"/>
  <c r="E7" i="10" s="1"/>
  <c r="E6" i="10" s="1"/>
  <c r="E5" i="10" s="1"/>
  <c r="E4" i="10" s="1"/>
  <c r="E3" i="10" s="1"/>
  <c r="E2" i="10" s="1"/>
  <c r="F14" i="10"/>
  <c r="G2" i="10" l="1"/>
  <c r="N14"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<sst xmlns="http://schemas.openxmlformats.org/spreadsheetml/2006/main" count="1054" uniqueCount="365">
  <si>
    <t>Category</t>
  </si>
  <si>
    <t>Chains</t>
  </si>
  <si>
    <t>Chains 10k-22"</t>
  </si>
  <si>
    <t>C51</t>
  </si>
  <si>
    <t>Chains 10k - 20"</t>
  </si>
  <si>
    <t>C52</t>
  </si>
  <si>
    <t>Chains 10k - 24"</t>
  </si>
  <si>
    <t>C53</t>
  </si>
  <si>
    <t>Kathleen</t>
  </si>
  <si>
    <t>C54</t>
  </si>
  <si>
    <t>C55</t>
  </si>
  <si>
    <t>Shimona</t>
  </si>
  <si>
    <t>Chains 10k-16"</t>
  </si>
  <si>
    <t>C56</t>
  </si>
  <si>
    <t>Vishal</t>
  </si>
  <si>
    <t>C57</t>
  </si>
  <si>
    <t>Esha</t>
  </si>
  <si>
    <t>Chains 10k-20"</t>
  </si>
  <si>
    <t>C58</t>
  </si>
  <si>
    <t>Chains 10k-18"</t>
  </si>
  <si>
    <t>C59</t>
  </si>
  <si>
    <t>C60</t>
  </si>
  <si>
    <t>C61</t>
  </si>
  <si>
    <t>Ear Ring</t>
  </si>
  <si>
    <t>Fancy Hoops</t>
  </si>
  <si>
    <t>E61</t>
  </si>
  <si>
    <t>E62</t>
  </si>
  <si>
    <t>E63</t>
  </si>
  <si>
    <t>E64</t>
  </si>
  <si>
    <t>E65</t>
  </si>
  <si>
    <t>E66</t>
  </si>
  <si>
    <t>Vijay</t>
  </si>
  <si>
    <t>E67</t>
  </si>
  <si>
    <t>E68</t>
  </si>
  <si>
    <t>E69</t>
  </si>
  <si>
    <t>Dianne</t>
  </si>
  <si>
    <t>E70</t>
  </si>
  <si>
    <t>Meenakshi</t>
  </si>
  <si>
    <t>E71</t>
  </si>
  <si>
    <t>Tayo</t>
  </si>
  <si>
    <t>E72</t>
  </si>
  <si>
    <t>E73</t>
  </si>
  <si>
    <t>E74</t>
  </si>
  <si>
    <t>E75</t>
  </si>
  <si>
    <t>E76</t>
  </si>
  <si>
    <t>E77</t>
  </si>
  <si>
    <t>E78</t>
  </si>
  <si>
    <t>E79</t>
  </si>
  <si>
    <t>E80</t>
  </si>
  <si>
    <t>E81</t>
  </si>
  <si>
    <t>E82</t>
  </si>
  <si>
    <t>E83</t>
  </si>
  <si>
    <t>E84</t>
  </si>
  <si>
    <t>E85</t>
  </si>
  <si>
    <t>Ganga</t>
  </si>
  <si>
    <t>C62</t>
  </si>
  <si>
    <t>C63</t>
  </si>
  <si>
    <t>C64</t>
  </si>
  <si>
    <t>Preeti</t>
  </si>
  <si>
    <t>C65</t>
  </si>
  <si>
    <t>C66</t>
  </si>
  <si>
    <t>C67</t>
  </si>
  <si>
    <t>C68</t>
  </si>
  <si>
    <t>C69</t>
  </si>
  <si>
    <t>C70</t>
  </si>
  <si>
    <t>Bracelet</t>
  </si>
  <si>
    <t>Bracelet -Y</t>
  </si>
  <si>
    <t>B71</t>
  </si>
  <si>
    <t>B72</t>
  </si>
  <si>
    <t>Bracelet -W</t>
  </si>
  <si>
    <t>B73</t>
  </si>
  <si>
    <t>Harjeet</t>
  </si>
  <si>
    <t>Bracelet -Solid</t>
  </si>
  <si>
    <t>B74</t>
  </si>
  <si>
    <t>B75</t>
  </si>
  <si>
    <t>B76</t>
  </si>
  <si>
    <t>Pendant</t>
  </si>
  <si>
    <t>P81</t>
  </si>
  <si>
    <t>P82</t>
  </si>
  <si>
    <t>P83</t>
  </si>
  <si>
    <t>P84</t>
  </si>
  <si>
    <t>P85</t>
  </si>
  <si>
    <t>P86</t>
  </si>
  <si>
    <t>P87</t>
  </si>
  <si>
    <t>P88</t>
  </si>
  <si>
    <t>P89</t>
  </si>
  <si>
    <t>P90</t>
  </si>
  <si>
    <t>Jawahar</t>
  </si>
  <si>
    <t>P91</t>
  </si>
  <si>
    <t>E86</t>
  </si>
  <si>
    <t>Prathamesh</t>
  </si>
  <si>
    <t>Rings</t>
  </si>
  <si>
    <t>R91</t>
  </si>
  <si>
    <t>R92</t>
  </si>
  <si>
    <t>R93</t>
  </si>
  <si>
    <t>R94</t>
  </si>
  <si>
    <t>R95</t>
  </si>
  <si>
    <t>R96</t>
  </si>
  <si>
    <t>R97</t>
  </si>
  <si>
    <t>Param</t>
  </si>
  <si>
    <t>R98</t>
  </si>
  <si>
    <t>R99</t>
  </si>
  <si>
    <t>Richa</t>
  </si>
  <si>
    <t>R100</t>
  </si>
  <si>
    <t>Bunty</t>
  </si>
  <si>
    <t>R101</t>
  </si>
  <si>
    <t>R102</t>
  </si>
  <si>
    <t>R103</t>
  </si>
  <si>
    <t>R104</t>
  </si>
  <si>
    <t>R105</t>
  </si>
  <si>
    <t>R106</t>
  </si>
  <si>
    <t>R107</t>
  </si>
  <si>
    <t>R108</t>
  </si>
  <si>
    <t>Bracelet-Y</t>
  </si>
  <si>
    <t>B77</t>
  </si>
  <si>
    <t>Bracelet-W</t>
  </si>
  <si>
    <t>B78</t>
  </si>
  <si>
    <t>Chain 10k 10' -Child Y</t>
  </si>
  <si>
    <t>C74</t>
  </si>
  <si>
    <t>Chain 10k 10' -Child W</t>
  </si>
  <si>
    <t>C75</t>
  </si>
  <si>
    <t>B81</t>
  </si>
  <si>
    <t>B82</t>
  </si>
  <si>
    <t>B83</t>
  </si>
  <si>
    <t>Komal</t>
  </si>
  <si>
    <t>B84</t>
  </si>
  <si>
    <t>Kesar</t>
  </si>
  <si>
    <t>Bracelet Solid-W</t>
  </si>
  <si>
    <t>B85</t>
  </si>
  <si>
    <t>B86</t>
  </si>
  <si>
    <t>B87</t>
  </si>
  <si>
    <t>B88</t>
  </si>
  <si>
    <t>B89</t>
  </si>
  <si>
    <t>B90</t>
  </si>
  <si>
    <t>Chain 10k 16' -RoseGold</t>
  </si>
  <si>
    <t>C71</t>
  </si>
  <si>
    <t>Chain 10k 16' -W</t>
  </si>
  <si>
    <t>C72</t>
  </si>
  <si>
    <t>Chain 10k 16' -Y</t>
  </si>
  <si>
    <t>C73</t>
  </si>
  <si>
    <t>Pendant-W</t>
  </si>
  <si>
    <t>P92</t>
  </si>
  <si>
    <t>Pendant-Y</t>
  </si>
  <si>
    <t>P93</t>
  </si>
  <si>
    <t>P94</t>
  </si>
  <si>
    <t>P95</t>
  </si>
  <si>
    <t>P96</t>
  </si>
  <si>
    <t>P97</t>
  </si>
  <si>
    <t>P98</t>
  </si>
  <si>
    <t>Ear Tops</t>
  </si>
  <si>
    <t>Fancy Tops</t>
  </si>
  <si>
    <t>T91</t>
  </si>
  <si>
    <t>T92</t>
  </si>
  <si>
    <t>T93</t>
  </si>
  <si>
    <t>T94</t>
  </si>
  <si>
    <t>T95</t>
  </si>
  <si>
    <t>ProductID</t>
  </si>
  <si>
    <t>ProductName</t>
  </si>
  <si>
    <t>Gold</t>
  </si>
  <si>
    <t>MetalType</t>
  </si>
  <si>
    <t>Silver</t>
  </si>
  <si>
    <t>PurchaseDate</t>
  </si>
  <si>
    <t>TotalCost</t>
  </si>
  <si>
    <t>Weight(gm)</t>
  </si>
  <si>
    <t>PurchasePrice/Gram</t>
  </si>
  <si>
    <t>SellingPrice</t>
  </si>
  <si>
    <t>MarketPrice</t>
  </si>
  <si>
    <t>Divya</t>
  </si>
  <si>
    <t>Mahesh</t>
  </si>
  <si>
    <t>Bably</t>
  </si>
  <si>
    <t>Connie</t>
  </si>
  <si>
    <t>Suresh</t>
  </si>
  <si>
    <t>Shikha</t>
  </si>
  <si>
    <t>Sudhir</t>
  </si>
  <si>
    <t>Gori</t>
  </si>
  <si>
    <t>Gurpreet</t>
  </si>
  <si>
    <t>Shobha</t>
  </si>
  <si>
    <t>Trish</t>
  </si>
  <si>
    <t>SaleDate</t>
  </si>
  <si>
    <t>GrossMargin</t>
  </si>
  <si>
    <t>MarginPercent</t>
  </si>
  <si>
    <t>StockStatus</t>
  </si>
  <si>
    <t>DaysInInventory</t>
  </si>
  <si>
    <t>Total Items</t>
  </si>
  <si>
    <t>Items Sold</t>
  </si>
  <si>
    <t>Items In Stock</t>
  </si>
  <si>
    <t>Total Revenue (Sold)</t>
  </si>
  <si>
    <t>Total Cost (Sold)</t>
  </si>
  <si>
    <t>Gross Profit</t>
  </si>
  <si>
    <t>Average Gross Margin %</t>
  </si>
  <si>
    <t>Avg. Days in Inventory (Sold)</t>
  </si>
  <si>
    <t>Avg. Days in Inventory (In Stock)</t>
  </si>
  <si>
    <t>NJ JEWELERS SUMMARY DASHBOARD</t>
  </si>
  <si>
    <t>Row Labels</t>
  </si>
  <si>
    <t>Grand Total</t>
  </si>
  <si>
    <t>Sum of SellingPrice</t>
  </si>
  <si>
    <t>Sold</t>
  </si>
  <si>
    <t>Count of ProductID</t>
  </si>
  <si>
    <t>Feb</t>
  </si>
  <si>
    <t>Mar</t>
  </si>
  <si>
    <t>May</t>
  </si>
  <si>
    <t>Jul</t>
  </si>
  <si>
    <t>Aug</t>
  </si>
  <si>
    <t>Sep</t>
  </si>
  <si>
    <t>Oct</t>
  </si>
  <si>
    <t>Nov</t>
  </si>
  <si>
    <t>Dec</t>
  </si>
  <si>
    <t>Month of Sale</t>
  </si>
  <si>
    <t>Total Sale Price</t>
  </si>
  <si>
    <t>Average of DaysInInventory</t>
  </si>
  <si>
    <t>Weight</t>
  </si>
  <si>
    <t>SoldTo</t>
  </si>
  <si>
    <t>Gold (per gm)</t>
  </si>
  <si>
    <t>Silver (per gm)</t>
  </si>
  <si>
    <t>Target Margin (%)</t>
  </si>
  <si>
    <t>Date</t>
  </si>
  <si>
    <t>Gold Volatility</t>
  </si>
  <si>
    <t>Silver Volatility</t>
  </si>
  <si>
    <t>Metal</t>
  </si>
  <si>
    <t>Cost Price</t>
  </si>
  <si>
    <t>Old Selling Price</t>
  </si>
  <si>
    <t>New Recommened Price</t>
  </si>
  <si>
    <t>(All)</t>
  </si>
  <si>
    <t>Current Market Rate</t>
  </si>
  <si>
    <t>Silver per ounce</t>
  </si>
  <si>
    <t xml:space="preserve">Let smoothing factor be </t>
  </si>
  <si>
    <t>Actual Gold Price for 10K</t>
  </si>
  <si>
    <t>Forecasted Gold Price for 10K</t>
  </si>
  <si>
    <t>Gold Price per ounce</t>
  </si>
  <si>
    <t>Gold Price per gram</t>
  </si>
  <si>
    <t>Actual Silver Price per gm</t>
  </si>
  <si>
    <t>Forecasted Silver Price</t>
  </si>
  <si>
    <t>Absoluter % Error</t>
  </si>
  <si>
    <t>Mean Absolute % Error</t>
  </si>
  <si>
    <t>Log Returns</t>
  </si>
  <si>
    <t>Mean Monthly Return</t>
  </si>
  <si>
    <t>Monthly Volatility</t>
  </si>
  <si>
    <t>Initial Price</t>
  </si>
  <si>
    <t>Number of Months</t>
  </si>
  <si>
    <t>Number of Simulations</t>
  </si>
  <si>
    <t>Month</t>
  </si>
  <si>
    <t>Sim 1</t>
  </si>
  <si>
    <t>Sim 2</t>
  </si>
  <si>
    <t>Sim 3</t>
  </si>
  <si>
    <t>Sim 4</t>
  </si>
  <si>
    <t>Sim 5</t>
  </si>
  <si>
    <t>Sim 6</t>
  </si>
  <si>
    <t>Sim 7</t>
  </si>
  <si>
    <t>Sim 8</t>
  </si>
  <si>
    <t>Sim 9</t>
  </si>
  <si>
    <t>Sim 10</t>
  </si>
  <si>
    <t>Sim 11</t>
  </si>
  <si>
    <t>Sim 12</t>
  </si>
  <si>
    <t>Sim 13</t>
  </si>
  <si>
    <t>Sim 14</t>
  </si>
  <si>
    <t>Sim 15</t>
  </si>
  <si>
    <t>Sim 16</t>
  </si>
  <si>
    <t>Sim 17</t>
  </si>
  <si>
    <t>Sim 18</t>
  </si>
  <si>
    <t>Sim 19</t>
  </si>
  <si>
    <t>Sim 20</t>
  </si>
  <si>
    <t>Sim 21</t>
  </si>
  <si>
    <t>Sim 22</t>
  </si>
  <si>
    <t>Sim 23</t>
  </si>
  <si>
    <t>Sim 24</t>
  </si>
  <si>
    <t>Sim 25</t>
  </si>
  <si>
    <t>Sim 26</t>
  </si>
  <si>
    <t>Sim 27</t>
  </si>
  <si>
    <t>Sim 28</t>
  </si>
  <si>
    <t>Sim 29</t>
  </si>
  <si>
    <t>Sim 30</t>
  </si>
  <si>
    <t>Sim 31</t>
  </si>
  <si>
    <t>Sim 32</t>
  </si>
  <si>
    <t>Sim 33</t>
  </si>
  <si>
    <t>Sim 34</t>
  </si>
  <si>
    <t>Sim 35</t>
  </si>
  <si>
    <t>Sim 36</t>
  </si>
  <si>
    <t>Sim 37</t>
  </si>
  <si>
    <t>Sim 38</t>
  </si>
  <si>
    <t>Sim 39</t>
  </si>
  <si>
    <t>Sim 40</t>
  </si>
  <si>
    <t>Sim 41</t>
  </si>
  <si>
    <t>Sim 42</t>
  </si>
  <si>
    <t>Sim 43</t>
  </si>
  <si>
    <t>Sim 44</t>
  </si>
  <si>
    <t>Sim 45</t>
  </si>
  <si>
    <t>Sim 46</t>
  </si>
  <si>
    <t>Sim 47</t>
  </si>
  <si>
    <t>Sim 48</t>
  </si>
  <si>
    <t>Sim 49</t>
  </si>
  <si>
    <t>Sim 50</t>
  </si>
  <si>
    <t>Sim 51</t>
  </si>
  <si>
    <t>Sim 52</t>
  </si>
  <si>
    <t>Sim 53</t>
  </si>
  <si>
    <t>Sim 54</t>
  </si>
  <si>
    <t>Sim 55</t>
  </si>
  <si>
    <t>Sim 56</t>
  </si>
  <si>
    <t>Sim 57</t>
  </si>
  <si>
    <t>Sim 58</t>
  </si>
  <si>
    <t>Sim 59</t>
  </si>
  <si>
    <t>Sim 60</t>
  </si>
  <si>
    <t>Sim 61</t>
  </si>
  <si>
    <t>Sim 62</t>
  </si>
  <si>
    <t>Sim 63</t>
  </si>
  <si>
    <t>Sim 64</t>
  </si>
  <si>
    <t>Sim 65</t>
  </si>
  <si>
    <t>Sim 66</t>
  </si>
  <si>
    <t>Sim 67</t>
  </si>
  <si>
    <t>Sim 68</t>
  </si>
  <si>
    <t>Sim 69</t>
  </si>
  <si>
    <t>Sim 70</t>
  </si>
  <si>
    <t>Sim 71</t>
  </si>
  <si>
    <t>Sim 72</t>
  </si>
  <si>
    <t>Sim 73</t>
  </si>
  <si>
    <t>Sim 74</t>
  </si>
  <si>
    <t>Sim 75</t>
  </si>
  <si>
    <t>Sim 76</t>
  </si>
  <si>
    <t>Sim 77</t>
  </si>
  <si>
    <t>Sim 78</t>
  </si>
  <si>
    <t>Sim 79</t>
  </si>
  <si>
    <t>Sim 80</t>
  </si>
  <si>
    <t>Sim 81</t>
  </si>
  <si>
    <t>Sim 82</t>
  </si>
  <si>
    <t>Sim 83</t>
  </si>
  <si>
    <t>Sim 84</t>
  </si>
  <si>
    <t>Sim 85</t>
  </si>
  <si>
    <t>Sim 86</t>
  </si>
  <si>
    <t>Sim 87</t>
  </si>
  <si>
    <t>Sim 88</t>
  </si>
  <si>
    <t>Sim 89</t>
  </si>
  <si>
    <t>Sim 90</t>
  </si>
  <si>
    <t>Sim 91</t>
  </si>
  <si>
    <t>Sim 92</t>
  </si>
  <si>
    <t>Sim 93</t>
  </si>
  <si>
    <t>Sim 94</t>
  </si>
  <si>
    <t>Sim 95</t>
  </si>
  <si>
    <t>Sim 96</t>
  </si>
  <si>
    <t>Sim 97</t>
  </si>
  <si>
    <t>Sim 98</t>
  </si>
  <si>
    <t>Sim 99</t>
  </si>
  <si>
    <t>Sim 100</t>
  </si>
  <si>
    <t>AVG Ending Price</t>
  </si>
  <si>
    <t>Min Ending Price</t>
  </si>
  <si>
    <t>Max Ending Price</t>
  </si>
  <si>
    <t>Std Dev of Ending Price</t>
  </si>
  <si>
    <t>5th Percentile</t>
  </si>
  <si>
    <t>95th Percentile</t>
  </si>
  <si>
    <t>AVERAGE INVENTORY VALUE</t>
  </si>
  <si>
    <t>Recommended Price of unsold items  to Prevent Risk by one standard deviation and manitain target margin</t>
  </si>
  <si>
    <t>5th PERCENTILE (Worst Case)</t>
  </si>
  <si>
    <t>95th PERCENTILE (Best Case)</t>
  </si>
  <si>
    <t>WORST CASE VALUE</t>
  </si>
  <si>
    <t>AVG VALUE</t>
  </si>
  <si>
    <t>BEST CASE VALUE</t>
  </si>
  <si>
    <t>VAR</t>
  </si>
  <si>
    <t>VAR %</t>
  </si>
  <si>
    <t>Sim</t>
  </si>
  <si>
    <t>Selling Price</t>
  </si>
  <si>
    <t>Profit</t>
  </si>
  <si>
    <t>Gold Price = Cost Price (1 gm)</t>
  </si>
  <si>
    <t>Fixed Selling Price</t>
  </si>
  <si>
    <t>New Profit</t>
  </si>
  <si>
    <t>Worst Case Profit</t>
  </si>
  <si>
    <t xml:space="preserve">Dynamic Pricing is Safer </t>
  </si>
  <si>
    <t>Count of Loss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</si>
</sst>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1009]mmmm\ d\,\ yyyy;@"/>
  </numFmts>
  <fonts count="11" x14ac:knownFonts="1">
    <font>
      <sz val="12"/>
      <color theme="1"/>
      <name val="Aptos Narrow"/>
      <family val="2"/>
      <scheme val="minor"/>
    </font>
    <font>
      <sz val="11"/>
      <color theme="1"/>
      <name val="Calibri"/>
      <family val="2"/>
    </font>
    <font>
      <b/>
      <sz val="11"/>
      <color theme="1"/>
      <name val="Calibri"/>
      <family val="2"/>
    </font>
    <font>
      <sz val="12"/>
      <color theme="1"/>
      <name val="Aptos Narrow"/>
      <family val="2"/>
      <scheme val="minor"/>
    </font>
    <font>
      <b/>
      <sz val="12"/>
      <color theme="1"/>
      <name val="Aptos Narrow"/>
      <family val="2"/>
      <scheme val="minor"/>
    </font>
    <font>
      <sz val="10"/>
      <color theme="1"/>
      <name val="Arial Unicode MS"/>
      <family val="2"/>
    </font>
    <font>
      <b/>
      <i/>
      <sz val="12"/>
      <color theme="1"/>
      <name val="Aptos Narrow"/>
      <scheme val="minor"/>
    </font>
    <font>
      <b/>
      <sz val="12"/>
      <color theme="1"/>
      <name val="Aptos Narrow"/>
      <scheme val="minor"/>
    </font>
    <font>
      <b/>
      <sz val="12"/>
      <color theme="1"/>
      <name val="Calibri"/>
      <family val="2"/>
    </font>
    <font>
      <sz val="12"/>
      <color theme="1"/>
      <name val="Calibri"/>
      <family val="2"/>
    </font>
    <font>
      <sz val="8"/>
      <name val="Aptos Narrow"/>
      <family val="2"/>
      <scheme val="minor"/>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1" fillId="0" borderId="0" xfId="0" applyFont="1"/>
    <xf numFmtId="9" fontId="1" fillId="0" borderId="0" xfId="1" applyFont="1"/>
    <xf numFmtId="9" fontId="0" fillId="0" borderId="0" xfId="1" applyFont="1"/>
    <xf numFmtId="14" fontId="1" fillId="0" borderId="0" xfId="0" applyNumberFormat="1" applyFont="1"/>
    <xf numFmtId="14" fontId="0" fillId="0" borderId="0" xfId="0" applyNumberFormat="1"/>
    <xf numFmtId="0" fontId="4" fillId="0" borderId="1" xfId="0" applyFont="1" applyBorder="1"/>
    <xf numFmtId="0" fontId="5" fillId="0" borderId="1" xfId="0" applyFont="1" applyBorder="1"/>
    <xf numFmtId="9" fontId="5" fillId="0" borderId="1" xfId="1" applyFont="1" applyBorder="1"/>
    <xf numFmtId="0" fontId="0" fillId="0" borderId="0" xfId="0" pivotButton="1"/>
    <xf numFmtId="0" fontId="0" fillId="0" borderId="0" xfId="0" applyAlignment="1">
      <alignment horizontal="left"/>
    </xf>
    <xf numFmtId="0" fontId="4" fillId="0" borderId="0" xfId="0" applyFont="1"/>
    <xf numFmtId="0" fontId="5" fillId="0" borderId="0" xfId="0" applyFont="1"/>
    <xf numFmtId="0" fontId="0" fillId="0" borderId="1" xfId="0" pivotButton="1" applyBorder="1"/>
    <xf numFmtId="0" fontId="0" fillId="0" borderId="1" xfId="0" applyBorder="1"/>
    <xf numFmtId="0" fontId="0" fillId="0" borderId="1" xfId="0" applyBorder="1" applyAlignment="1">
      <alignment horizontal="left"/>
    </xf>
    <xf numFmtId="0" fontId="2" fillId="0" borderId="2" xfId="0" applyFont="1" applyBorder="1"/>
    <xf numFmtId="0" fontId="2" fillId="0" borderId="3" xfId="0" applyFont="1" applyBorder="1"/>
    <xf numFmtId="14" fontId="2" fillId="0" borderId="3" xfId="0" applyNumberFormat="1" applyFont="1" applyBorder="1"/>
    <xf numFmtId="9" fontId="2" fillId="0" borderId="3" xfId="1" applyFont="1" applyBorder="1"/>
    <xf numFmtId="0" fontId="2" fillId="0" borderId="4" xfId="0" applyFont="1" applyBorder="1"/>
    <xf numFmtId="0" fontId="1" fillId="0" borderId="5" xfId="0" applyFont="1" applyBorder="1"/>
    <xf numFmtId="0" fontId="1" fillId="0" borderId="1" xfId="0" applyFont="1" applyBorder="1"/>
    <xf numFmtId="14" fontId="1" fillId="0" borderId="1" xfId="0" applyNumberFormat="1" applyFont="1" applyBorder="1"/>
    <xf numFmtId="9" fontId="1" fillId="0" borderId="1" xfId="1" applyFont="1" applyBorder="1"/>
    <xf numFmtId="0" fontId="1" fillId="0" borderId="6" xfId="0" applyFont="1" applyBorder="1"/>
    <xf numFmtId="0" fontId="1" fillId="0" borderId="1" xfId="0" applyFont="1" applyBorder="1" applyAlignment="1">
      <alignment wrapText="1"/>
    </xf>
    <xf numFmtId="0" fontId="1" fillId="0" borderId="7" xfId="0" applyFont="1" applyBorder="1"/>
    <xf numFmtId="0" fontId="1" fillId="0" borderId="8" xfId="0" applyFont="1" applyBorder="1"/>
    <xf numFmtId="14" fontId="1" fillId="0" borderId="8" xfId="0" applyNumberFormat="1" applyFont="1" applyBorder="1"/>
    <xf numFmtId="9" fontId="1" fillId="0" borderId="8" xfId="1" applyFont="1" applyBorder="1"/>
    <xf numFmtId="0" fontId="1" fillId="0" borderId="9" xfId="0" applyFont="1" applyBorder="1"/>
    <xf numFmtId="0" fontId="7" fillId="0" borderId="0" xfId="0" applyFont="1"/>
    <xf numFmtId="0" fontId="8" fillId="0" borderId="1" xfId="0" applyFont="1" applyBorder="1"/>
    <xf numFmtId="14" fontId="8" fillId="0" borderId="1" xfId="0" applyNumberFormat="1" applyFont="1" applyBorder="1"/>
    <xf numFmtId="9" fontId="8" fillId="0" borderId="1" xfId="1" applyFont="1" applyBorder="1"/>
    <xf numFmtId="0" fontId="9" fillId="0" borderId="1" xfId="0" applyFont="1" applyBorder="1"/>
    <xf numFmtId="14" fontId="9" fillId="0" borderId="1" xfId="0" applyNumberFormat="1" applyFont="1" applyBorder="1"/>
    <xf numFmtId="9" fontId="9" fillId="0" borderId="1" xfId="1" applyFont="1" applyBorder="1"/>
    <xf numFmtId="2" fontId="2" fillId="0" borderId="3" xfId="0" applyNumberFormat="1" applyFont="1" applyBorder="1"/>
    <xf numFmtId="2" fontId="1" fillId="0" borderId="1" xfId="0" applyNumberFormat="1" applyFont="1" applyBorder="1"/>
    <xf numFmtId="2" fontId="1" fillId="0" borderId="8" xfId="0" applyNumberFormat="1" applyFont="1" applyBorder="1"/>
    <xf numFmtId="2" fontId="1" fillId="0" borderId="0" xfId="0" applyNumberFormat="1" applyFont="1"/>
    <xf numFmtId="2" fontId="0" fillId="0" borderId="0" xfId="0" applyNumberFormat="1"/>
    <xf numFmtId="10" fontId="0" fillId="0" borderId="0" xfId="1" applyNumberFormat="1" applyFont="1"/>
    <xf numFmtId="0" fontId="9" fillId="0" borderId="0" xfId="0" applyFont="1"/>
    <xf numFmtId="164" fontId="9" fillId="0" borderId="0" xfId="0" applyNumberFormat="1" applyFont="1"/>
    <xf numFmtId="0" fontId="8" fillId="0" borderId="0" xfId="0" applyFont="1"/>
    <xf numFmtId="165" fontId="8" fillId="0" borderId="0" xfId="0" applyNumberFormat="1" applyFont="1"/>
    <xf numFmtId="165" fontId="9" fillId="0" borderId="0" xfId="0" applyNumberFormat="1" applyFont="1"/>
    <xf numFmtId="9" fontId="9" fillId="0" borderId="0" xfId="1" applyFont="1"/>
    <xf numFmtId="10" fontId="9" fillId="0" borderId="0" xfId="1" applyNumberFormat="1" applyFont="1"/>
    <xf numFmtId="0" fontId="6" fillId="0" borderId="0" xfId="0" applyFont="1" applyAlignment="1">
      <alignment horizontal="center"/>
    </xf>
    <xf numFmtId="0" fontId="0" fillId="0" borderId="0" xfId="0" applyNumberFormat="1"/>
    <xf numFmtId="0" fontId="0" fillId="0" borderId="1" xfId="0" applyNumberFormat="1" applyBorder="1"/>
    <xf numFmtId="9" fontId="7" fillId="0" borderId="0" xfId="1" applyFont="1"/>
  </cellXfs>
  <cellStyles count="2">
    <cellStyle name="Normal" xfId="0" builtinId="0"/>
    <cellStyle name="Percent" xfId="1" builtinId="5"/>
  </cellStyles>
  <dxfs count="43">
    <dxf>
      <fill>
        <patternFill>
          <bgColor rgb="FFFFC7CE"/>
        </patternFill>
      </fill>
    </dxf>
    <dxf>
      <fill>
        <patternFill>
          <bgColor rgb="FFFFC7CE"/>
        </patternFill>
      </fill>
    </dxf>
    <dxf>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numFmt numFmtId="19" formatCode="yyyy/mm/dd"/>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numFmt numFmtId="2" formatCode="0.0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numFmt numFmtId="19" formatCode="yyyy/mm/dd"/>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dxf>
    <dxf>
      <border>
        <bottom style="thin">
          <color indexed="64"/>
        </bottom>
      </border>
    </dxf>
    <dxf>
      <font>
        <b/>
        <i val="0"/>
        <strike val="0"/>
        <condense val="0"/>
        <extend val="0"/>
        <outline val="0"/>
        <shadow val="0"/>
        <u val="none"/>
        <vertAlign val="baseline"/>
        <sz val="11"/>
        <color theme="1"/>
        <name val="Calibri"/>
        <family val="2"/>
        <scheme val="none"/>
      </font>
      <border diagonalUp="0" diagonalDown="0">
        <left style="thin">
          <color indexed="64"/>
        </left>
        <right style="thin">
          <color indexed="64"/>
        </right>
        <top/>
        <bottom/>
        <vertical style="thin">
          <color indexed="64"/>
        </vertical>
        <horizontal style="thin">
          <color indexed="64"/>
        </horizontal>
      </border>
    </dxf>
    <dxf>
      <fill>
        <patternFill>
          <bgColor theme="7" tint="0.59996337778862885"/>
        </patternFill>
      </fill>
    </dxf>
  </dxfs>
  <tableStyles count="1" defaultTableStyle="TableStyleMedium2" defaultPivotStyle="PivotStyleLight16">
    <tableStyle name="Table Style 1" pivot="0" count="1" xr9:uid="{7F64DE76-2955-204B-8FBB-AC15A092BF78}">
      <tableStyleElement type="headerRow" dxfId="42"/>
    </tableStyle>
  </tableStyles>
  <colors>
    <mruColors>
      <color rgb="FFDFB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[NJ Jewelers.xlsm]Summary Dashboard!PivotTable1</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CA" sz="1000"/>
              <a:t>Gold VS Silver Sale</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DFBC00"/>
          </a:solidFill>
          <a:ln>
            <a:noFill/>
          </a:ln>
          <a:effectLst/>
          <a:scene3d>
            <a:camera prst="orthographicFront"/>
            <a:lightRig rig="brightRoom" dir="t"/>
          </a:scene3d>
          <a:sp3d prstMaterial="flat">
            <a:bevelT w="50800" h="101600" prst="angle"/>
            <a:contourClr>
              <a:srgbClr val="000000"/>
            </a:contourClr>
          </a:sp3d>
        </c:spPr>
        <c:dLbl>
          <c:idx val="0"/>
          <c:layout>
            <c:manualLayout>
              <c:x val="3.5864696958751718E-2"/>
              <c:y val="-0.2654974352717350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bg2">
              <a:lumMod val="75000"/>
            </a:schemeClr>
          </a:solidFill>
          <a:ln>
            <a:noFill/>
          </a:ln>
          <a:effectLst/>
          <a:scene3d>
            <a:camera prst="orthographicFront"/>
            <a:lightRig rig="brightRoom" dir="t"/>
          </a:scene3d>
          <a:sp3d prstMaterial="flat">
            <a:bevelT w="50800" h="101600" prst="angle"/>
            <a:contourClr>
              <a:srgbClr val="000000"/>
            </a:contourClr>
          </a:sp3d>
        </c:spPr>
        <c:dLbl>
          <c:idx val="0"/>
          <c:layout>
            <c:manualLayout>
              <c:x val="1.4603770858917864E-2"/>
              <c:y val="3.94941906120517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'Summary Dashboard'!$B$16</c:f>
              <c:strCache>
                <c:ptCount val="1"/>
                <c:pt idx="0">
                  <c:v>Total</c:v>
                </c:pt>
              </c:strCache>
            </c:strRef>
          </c:tx>
          <c:dPt>
            <c:idx val="0"/>
            <c:bubble3D val="0"/>
            <c:spPr>
              <a:solidFill>
                <a:srgbClr val="DFBC00"/>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D8F4-D048-BAB9-14FF7AFDCD26}"/>
              </c:ext>
            </c:extLst>
          </c:dPt>
          <c:dPt>
            <c:idx val="1"/>
            <c:bubble3D val="0"/>
            <c:spPr>
              <a:solidFill>
                <a:schemeClr val="bg2">
                  <a:lumMod val="75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8F4-D048-BAB9-14FF7AFDCD26}"/>
              </c:ext>
            </c:extLst>
          </c:dPt>
          <c:dLbls>
            <c:dLbl>
              <c:idx val="0"/>
              <c:layout>
                <c:manualLayout>
                  <c:x val="3.5864696958751718E-2"/>
                  <c:y val="-0.2654974352717350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D8F4-D048-BAB9-14FF7AFDCD26}"/>
                </c:ext>
              </c:extLst>
            </c:dLbl>
            <c:dLbl>
              <c:idx val="1"/>
              <c:layout>
                <c:manualLayout>
                  <c:x val="1.4603770858917864E-2"/>
                  <c:y val="3.9494190612051734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8F4-D048-BAB9-14FF7AFDCD26}"/>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'Summary Dashboard'!$A$17:$A$19</c:f>
              <c:strCache>
                <c:ptCount val="2"/>
                <c:pt idx="0">
                  <c:v>Gold</c:v>
                </c:pt>
                <c:pt idx="1">
                  <c:v>Silver</c:v>
                </c:pt>
              </c:strCache>
            </c:strRef>
          </c:cat>
          <c:val>
            <c:numRef>
              <c:f>'Summary Dashboard'!$B$17:$B$19</c:f>
              <c:numCache>
                <c:formatCode>General</c:formatCode>
                <c:ptCount val="2"/>
                <c:pt idx="0">
                  <c:v>5912</c:v>
                </c:pt>
                <c:pt idx="1">
                  <c:v>280</c:v>
                </c:pt>
              </c:numCache>
            </c:numRef>
          </c:val>
          <c:extLst>
            <c:ext xmlns:c16="http://schemas.microsoft.com/office/drawing/2014/chart" uri="{C3380CC4-5D6E-409C-BE32-E72D297353CC}">
              <c16:uniqueId val="{00000000-D8F4-D048-BAB9-14FF7AFDCD2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[NJ Jewelers.xlsm]Summary Dashboard!PivotTable2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Units</a:t>
            </a:r>
            <a:r>
              <a:rPr lang="en-US" baseline="0"/>
              <a:t> sold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 Dashboard'!$B$26</c:f>
              <c:strCache>
                <c:ptCount val="1"/>
                <c:pt idx="0">
                  <c:v>Total</c:v>
                </c:pt>
              </c:strCache>
            </c:strRef>
          </c:tx>
          <c:spPr>
            <a:solidFill>
              <a:schemeClr val="accent1"/>
            </a:solidFill>
            <a:ln>
              <a:noFill/>
            </a:ln>
            <a:effectLst/>
          </c:spPr>
          <c:invertIfNegative val="0"/>
          <c:cat>
            <c:strRef>
              <c:f>'Summary Dashboard'!$A$27:$A$33</c:f>
              <c:strCache>
                <c:ptCount val="6"/>
                <c:pt idx="0">
                  <c:v>Bracelet</c:v>
                </c:pt>
                <c:pt idx="1">
                  <c:v>Chains</c:v>
                </c:pt>
                <c:pt idx="2">
                  <c:v>Ear Ring</c:v>
                </c:pt>
                <c:pt idx="3">
                  <c:v>Ear Tops</c:v>
                </c:pt>
                <c:pt idx="4">
                  <c:v>Pendant</c:v>
                </c:pt>
                <c:pt idx="5">
                  <c:v>Rings</c:v>
                </c:pt>
              </c:strCache>
            </c:strRef>
          </c:cat>
          <c:val>
            <c:numRef>
              <c:f>'Summary Dashboard'!$B$27:$B$33</c:f>
              <c:numCache>
                <c:formatCode>General</c:formatCode>
                <c:ptCount val="6"/>
                <c:pt idx="0">
                  <c:v>20</c:v>
                </c:pt>
                <c:pt idx="1">
                  <c:v>23</c:v>
                </c:pt>
                <c:pt idx="2">
                  <c:v>27</c:v>
                </c:pt>
                <c:pt idx="3">
                  <c:v>5</c:v>
                </c:pt>
                <c:pt idx="4">
                  <c:v>18</c:v>
                </c:pt>
                <c:pt idx="5">
                  <c:v>18</c:v>
                </c:pt>
              </c:numCache>
            </c:numRef>
          </c:val>
          <c:extLst>
            <c:ext xmlns:c16="http://schemas.microsoft.com/office/drawing/2014/chart" uri="{C3380CC4-5D6E-409C-BE32-E72D297353CC}">
              <c16:uniqueId val="{00000000-76B7-A847-9497-310D69FEB068}"/>
            </c:ext>
          </c:extLst>
        </c:ser>
        <c:dLbls>
          <c:showLegendKey val="0"/>
          <c:showVal val="0"/>
          <c:showCatName val="0"/>
          <c:showSerName val="0"/>
          <c:showPercent val="0"/>
          <c:showBubbleSize val="0"/>
        </c:dLbls>
        <c:gapWidth val="219"/>
        <c:overlap val="-27"/>
        <c:axId val="1788012096"/>
        <c:axId val="23481519"/>
      </c:barChart>
      <c:catAx>
        <c:axId val="1788012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481519"/>
        <c:crosses val="autoZero"/>
        <c:auto val="1"/>
        <c:lblAlgn val="ctr"/>
        <c:lblOffset val="100"/>
        <c:noMultiLvlLbl val="0"/>
      </c:catAx>
      <c:valAx>
        <c:axId val="23481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80120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[NJ Jewelers.xlsm]Summary Dashboard!PivotTable3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Sale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'Summary Dashboard'!$B$41</c:f>
              <c:strCache>
                <c:ptCount val="1"/>
                <c:pt idx="0">
                  <c:v>Total</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strRef>
              <c:f>'Summary Dashboard'!$A$42:$A$51</c:f>
              <c:strCache>
                <c:ptCount val="9"/>
                <c:pt idx="0">
                  <c:v>Feb</c:v>
                </c:pt>
                <c:pt idx="1">
                  <c:v>Mar</c:v>
                </c:pt>
                <c:pt idx="2">
                  <c:v>May</c:v>
                </c:pt>
                <c:pt idx="3">
                  <c:v>Jul</c:v>
                </c:pt>
                <c:pt idx="4">
                  <c:v>Aug</c:v>
                </c:pt>
                <c:pt idx="5">
                  <c:v>Sep</c:v>
                </c:pt>
                <c:pt idx="6">
                  <c:v>Oct</c:v>
                </c:pt>
                <c:pt idx="7">
                  <c:v>Nov</c:v>
                </c:pt>
                <c:pt idx="8">
                  <c:v>Dec</c:v>
                </c:pt>
              </c:strCache>
            </c:strRef>
          </c:cat>
          <c:val>
            <c:numRef>
              <c:f>'Summary Dashboard'!$B$42:$B$51</c:f>
              <c:numCache>
                <c:formatCode>General</c:formatCode>
                <c:ptCount val="9"/>
                <c:pt idx="0">
                  <c:v>250</c:v>
                </c:pt>
                <c:pt idx="1">
                  <c:v>430</c:v>
                </c:pt>
                <c:pt idx="2">
                  <c:v>180</c:v>
                </c:pt>
                <c:pt idx="3">
                  <c:v>995</c:v>
                </c:pt>
                <c:pt idx="4">
                  <c:v>2063</c:v>
                </c:pt>
                <c:pt idx="5">
                  <c:v>309</c:v>
                </c:pt>
                <c:pt idx="6">
                  <c:v>370</c:v>
                </c:pt>
                <c:pt idx="7">
                  <c:v>360</c:v>
                </c:pt>
                <c:pt idx="8">
                  <c:v>1235</c:v>
                </c:pt>
              </c:numCache>
            </c:numRef>
          </c:val>
          <c:smooth val="0"/>
          <c:extLst>
            <c:ext xmlns:c16="http://schemas.microsoft.com/office/drawing/2014/chart" uri="{C3380CC4-5D6E-409C-BE32-E72D297353CC}">
              <c16:uniqueId val="{00000000-3B38-B840-9762-4ED8B7AFB7F1}"/>
            </c:ext>
          </c:extLst>
        </c:ser>
        <c:dLbls>
          <c:showLegendKey val="0"/>
          <c:showVal val="0"/>
          <c:showCatName val="0"/>
          <c:showSerName val="0"/>
          <c:showPercent val="0"/>
          <c:showBubbleSize val="0"/>
        </c:dLbls>
        <c:marker val="1"/>
        <c:smooth val="0"/>
        <c:axId val="24859855"/>
        <c:axId val="24872047"/>
      </c:lineChart>
      <c:catAx>
        <c:axId val="24859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72047"/>
        <c:crosses val="autoZero"/>
        <c:auto val="1"/>
        <c:lblAlgn val="ctr"/>
        <c:lblOffset val="100"/>
        <c:noMultiLvlLbl val="0"/>
      </c:catAx>
      <c:valAx>
        <c:axId val="248720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598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[NJ Jewelers.xlsm]Summary Dashboard!PivotTable4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a:t>
            </a:r>
            <a:r>
              <a:rPr lang="en-US" baseline="0"/>
              <a:t> days in inventory by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'Summary Dashboard'!$B$59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BA6-E746-849E-7D768A1D1FD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BA6-E746-849E-7D768A1D1FD3}"/>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2-E0AE-3D4D-A203-3BCCAC2E5D0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BA6-E746-849E-7D768A1D1FD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BA6-E746-849E-7D768A1D1FD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BA6-E746-849E-7D768A1D1FD3}"/>
              </c:ext>
            </c:extLst>
          </c:dPt>
          <c:cat>
            <c:strRef>
              <c:f>'Summary Dashboard'!$A$60:$A$66</c:f>
              <c:strCache>
                <c:ptCount val="6"/>
                <c:pt idx="0">
                  <c:v>Bracelet</c:v>
                </c:pt>
                <c:pt idx="1">
                  <c:v>Chains</c:v>
                </c:pt>
                <c:pt idx="2">
                  <c:v>Ear Ring</c:v>
                </c:pt>
                <c:pt idx="3">
                  <c:v>Ear Tops</c:v>
                </c:pt>
                <c:pt idx="4">
                  <c:v>Pendant</c:v>
                </c:pt>
                <c:pt idx="5">
                  <c:v>Rings</c:v>
                </c:pt>
              </c:strCache>
            </c:strRef>
          </c:cat>
          <c:val>
            <c:numRef>
              <c:f>'Summary Dashboard'!$B$60:$B$66</c:f>
              <c:numCache>
                <c:formatCode>General</c:formatCode>
                <c:ptCount val="6"/>
                <c:pt idx="0">
                  <c:v>559.04999999999995</c:v>
                </c:pt>
                <c:pt idx="1">
                  <c:v>525.56521739130437</c:v>
                </c:pt>
                <c:pt idx="2">
                  <c:v>564.81481481481478</c:v>
                </c:pt>
                <c:pt idx="3">
                  <c:v>617.79999999999995</c:v>
                </c:pt>
                <c:pt idx="4">
                  <c:v>509.66666666666669</c:v>
                </c:pt>
                <c:pt idx="5">
                  <c:v>546.55555555555554</c:v>
                </c:pt>
              </c:numCache>
            </c:numRef>
          </c:val>
          <c:extLst>
            <c:ext xmlns:c16="http://schemas.microsoft.com/office/drawing/2014/chart" uri="{C3380CC4-5D6E-409C-BE32-E72D297353CC}">
              <c16:uniqueId val="{00000000-E0AE-3D4D-A203-3BCCAC2E5D0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[NJ Jewelers.xlsm]Summary Dashboard!PivotTable5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Selling Items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'Summary Dashboard'!$B$73</c:f>
              <c:strCache>
                <c:ptCount val="1"/>
                <c:pt idx="0">
                  <c:v>Total</c:v>
                </c:pt>
              </c:strCache>
            </c:strRef>
          </c:tx>
          <c:spPr>
            <a:solidFill>
              <a:schemeClr val="accent1"/>
            </a:solidFill>
            <a:ln>
              <a:noFill/>
            </a:ln>
            <a:effectLst/>
          </c:spPr>
          <c:invertIfNegative val="0"/>
          <c:cat>
            <c:strRef>
              <c:f>'Summary Dashboard'!$A$74:$A$80</c:f>
              <c:strCache>
                <c:ptCount val="6"/>
                <c:pt idx="0">
                  <c:v>Bracelet</c:v>
                </c:pt>
                <c:pt idx="1">
                  <c:v>Chains</c:v>
                </c:pt>
                <c:pt idx="2">
                  <c:v>Ear Ring</c:v>
                </c:pt>
                <c:pt idx="3">
                  <c:v>Ear Tops</c:v>
                </c:pt>
                <c:pt idx="4">
                  <c:v>Pendant</c:v>
                </c:pt>
                <c:pt idx="5">
                  <c:v>Rings</c:v>
                </c:pt>
              </c:strCache>
            </c:strRef>
          </c:cat>
          <c:val>
            <c:numRef>
              <c:f>'Summary Dashboard'!$B$74:$B$80</c:f>
              <c:numCache>
                <c:formatCode>General</c:formatCode>
                <c:ptCount val="6"/>
                <c:pt idx="0">
                  <c:v>575</c:v>
                </c:pt>
                <c:pt idx="1">
                  <c:v>1976.75</c:v>
                </c:pt>
                <c:pt idx="2">
                  <c:v>1885</c:v>
                </c:pt>
                <c:pt idx="3">
                  <c:v>225</c:v>
                </c:pt>
                <c:pt idx="4">
                  <c:v>620.25</c:v>
                </c:pt>
                <c:pt idx="5">
                  <c:v>910</c:v>
                </c:pt>
              </c:numCache>
            </c:numRef>
          </c:val>
          <c:extLst>
            <c:ext xmlns:c16="http://schemas.microsoft.com/office/drawing/2014/chart" uri="{C3380CC4-5D6E-409C-BE32-E72D297353CC}">
              <c16:uniqueId val="{00000000-7B4F-9444-91E7-95ED7F647F07}"/>
            </c:ext>
          </c:extLst>
        </c:ser>
        <c:dLbls>
          <c:showLegendKey val="0"/>
          <c:showVal val="0"/>
          <c:showCatName val="0"/>
          <c:showSerName val="0"/>
          <c:showPercent val="0"/>
          <c:showBubbleSize val="0"/>
        </c:dLbls>
        <c:gapWidth val="219"/>
        <c:overlap val="-27"/>
        <c:axId val="2053745519"/>
        <c:axId val="2058930671"/>
      </c:barChart>
      <c:catAx>
        <c:axId val="205374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8930671"/>
        <c:crosses val="autoZero"/>
        <c:auto val="1"/>
        <c:lblAlgn val="ctr"/>
        <c:lblOffset val="100"/>
        <c:noMultiLvlLbl val="0"/>
      </c:catAx>
      <c:valAx>
        <c:axId val="20589306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3745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sz="1400" b="0" i="0" u="none" strike="noStrike" baseline="0"/>
              <a:t>Actual VS Forecasted Gold Price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PastPrices!$D$1</c:f>
              <c:strCache>
                <c:ptCount val="1"/>
                <c:pt idx="0">
                  <c:v>Actual Gold Price for 10K</c:v>
                </c:pt>
              </c:strCache>
            </c:strRef>
          </c:tx>
          <c:spPr>
            <a:ln w="28575" cap="rnd">
              <a:solidFill>
                <a:schemeClr val="accent1"/>
              </a:solidFill>
              <a:round/>
            </a:ln>
            <a:effectLst/>
          </c:spPr>
          <c:marker>
            <c:symbol val="none"/>
          </c:marker>
          <c:cat>
            <c:numRef>
              <c:f>PastPrices!$A$2:$A$598</c:f>
              <c:numCache>
                <c:formatCode>[$-1009]mmmm\ d\,\ yyyy;@</c:formatCode>
                <c:ptCount val="597"/>
                <c:pt idx="0">
                  <c:v>46203</c:v>
                </c:pt>
                <c:pt idx="1">
                  <c:v>46173</c:v>
                </c:pt>
                <c:pt idx="2">
                  <c:v>46142</c:v>
                </c:pt>
                <c:pt idx="3">
                  <c:v>46112</c:v>
                </c:pt>
                <c:pt idx="4">
                  <c:v>46081</c:v>
                </c:pt>
                <c:pt idx="5">
                  <c:v>46053</c:v>
                </c:pt>
                <c:pt idx="6">
                  <c:v>46022</c:v>
                </c:pt>
                <c:pt idx="7">
                  <c:v>45991</c:v>
                </c:pt>
                <c:pt idx="8">
                  <c:v>45961</c:v>
                </c:pt>
                <c:pt idx="9">
                  <c:v>45930</c:v>
                </c:pt>
                <c:pt idx="10">
                  <c:v>45900</c:v>
                </c:pt>
                <c:pt idx="11">
                  <c:v>45869</c:v>
                </c:pt>
                <c:pt idx="12">
                  <c:v>45838</c:v>
                </c:pt>
                <c:pt idx="13">
                  <c:v>45807</c:v>
                </c:pt>
                <c:pt idx="14">
                  <c:v>45777</c:v>
                </c:pt>
                <c:pt idx="15">
                  <c:v>45747</c:v>
                </c:pt>
                <c:pt idx="16">
                  <c:v>45716</c:v>
                </c:pt>
                <c:pt idx="17">
                  <c:v>45688</c:v>
                </c:pt>
                <c:pt idx="18">
                  <c:v>45657</c:v>
                </c:pt>
                <c:pt idx="19">
                  <c:v>45625</c:v>
                </c:pt>
                <c:pt idx="20">
                  <c:v>45596</c:v>
                </c:pt>
                <c:pt idx="21">
                  <c:v>45565</c:v>
                </c:pt>
                <c:pt idx="22">
                  <c:v>45534</c:v>
                </c:pt>
                <c:pt idx="23">
                  <c:v>45504</c:v>
                </c:pt>
                <c:pt idx="24">
                  <c:v>45471</c:v>
                </c:pt>
                <c:pt idx="25">
                  <c:v>45443</c:v>
                </c:pt>
                <c:pt idx="26">
                  <c:v>45412</c:v>
                </c:pt>
                <c:pt idx="27">
                  <c:v>45380</c:v>
                </c:pt>
                <c:pt idx="28">
                  <c:v>45351</c:v>
                </c:pt>
                <c:pt idx="29">
                  <c:v>45322</c:v>
                </c:pt>
                <c:pt idx="30">
                  <c:v>45289</c:v>
                </c:pt>
                <c:pt idx="31">
                  <c:v>45260</c:v>
                </c:pt>
                <c:pt idx="32">
                  <c:v>45230</c:v>
                </c:pt>
                <c:pt idx="33">
                  <c:v>45198</c:v>
                </c:pt>
                <c:pt idx="34">
                  <c:v>45169</c:v>
                </c:pt>
                <c:pt idx="35">
                  <c:v>45138</c:v>
                </c:pt>
                <c:pt idx="36">
                  <c:v>45107</c:v>
                </c:pt>
                <c:pt idx="37">
                  <c:v>45077</c:v>
                </c:pt>
                <c:pt idx="38">
                  <c:v>45044</c:v>
                </c:pt>
                <c:pt idx="39">
                  <c:v>45016</c:v>
                </c:pt>
                <c:pt idx="40">
                  <c:v>44985</c:v>
                </c:pt>
                <c:pt idx="41">
                  <c:v>44957</c:v>
                </c:pt>
                <c:pt idx="42">
                  <c:v>44925</c:v>
                </c:pt>
                <c:pt idx="43">
                  <c:v>44895</c:v>
                </c:pt>
                <c:pt idx="44">
                  <c:v>44865</c:v>
                </c:pt>
                <c:pt idx="45">
                  <c:v>44834</c:v>
                </c:pt>
                <c:pt idx="46">
                  <c:v>44804</c:v>
                </c:pt>
                <c:pt idx="47">
                  <c:v>44771</c:v>
                </c:pt>
                <c:pt idx="48">
                  <c:v>44742</c:v>
                </c:pt>
                <c:pt idx="49">
                  <c:v>44712</c:v>
                </c:pt>
                <c:pt idx="50">
                  <c:v>44680</c:v>
                </c:pt>
                <c:pt idx="51">
                  <c:v>44651</c:v>
                </c:pt>
                <c:pt idx="52">
                  <c:v>44620</c:v>
                </c:pt>
                <c:pt idx="53">
                  <c:v>44592</c:v>
                </c:pt>
                <c:pt idx="54">
                  <c:v>44561</c:v>
                </c:pt>
                <c:pt idx="55">
                  <c:v>44530</c:v>
                </c:pt>
                <c:pt idx="56">
                  <c:v>44498</c:v>
                </c:pt>
                <c:pt idx="57">
                  <c:v>44469</c:v>
                </c:pt>
                <c:pt idx="58">
                  <c:v>44439</c:v>
                </c:pt>
                <c:pt idx="59">
                  <c:v>44407</c:v>
                </c:pt>
                <c:pt idx="60">
                  <c:v>44377</c:v>
                </c:pt>
                <c:pt idx="61">
                  <c:v>44347</c:v>
                </c:pt>
                <c:pt idx="62">
                  <c:v>44316</c:v>
                </c:pt>
                <c:pt idx="63">
                  <c:v>44286</c:v>
                </c:pt>
                <c:pt idx="64">
                  <c:v>44253</c:v>
                </c:pt>
                <c:pt idx="65">
                  <c:v>44225</c:v>
                </c:pt>
                <c:pt idx="66">
                  <c:v>44196</c:v>
                </c:pt>
                <c:pt idx="67">
                  <c:v>44165</c:v>
                </c:pt>
                <c:pt idx="68">
                  <c:v>44134</c:v>
                </c:pt>
                <c:pt idx="69">
                  <c:v>44104</c:v>
                </c:pt>
                <c:pt idx="70">
                  <c:v>44074</c:v>
                </c:pt>
                <c:pt idx="71">
                  <c:v>44043</c:v>
                </c:pt>
                <c:pt idx="72">
                  <c:v>44012</c:v>
                </c:pt>
                <c:pt idx="73">
                  <c:v>43980</c:v>
                </c:pt>
                <c:pt idx="74">
                  <c:v>43951</c:v>
                </c:pt>
                <c:pt idx="75">
                  <c:v>43921</c:v>
                </c:pt>
                <c:pt idx="76">
                  <c:v>43889</c:v>
                </c:pt>
                <c:pt idx="77">
                  <c:v>43861</c:v>
                </c:pt>
                <c:pt idx="78">
                  <c:v>43830</c:v>
                </c:pt>
                <c:pt idx="79">
                  <c:v>43798</c:v>
                </c:pt>
                <c:pt idx="80">
                  <c:v>43769</c:v>
                </c:pt>
                <c:pt idx="81">
                  <c:v>43738</c:v>
                </c:pt>
                <c:pt idx="82">
                  <c:v>43707</c:v>
                </c:pt>
                <c:pt idx="83">
                  <c:v>43677</c:v>
                </c:pt>
                <c:pt idx="84">
                  <c:v>43644</c:v>
                </c:pt>
                <c:pt idx="85">
                  <c:v>43616</c:v>
                </c:pt>
                <c:pt idx="86">
                  <c:v>43585</c:v>
                </c:pt>
                <c:pt idx="87">
                  <c:v>43553</c:v>
                </c:pt>
                <c:pt idx="88">
                  <c:v>43524</c:v>
                </c:pt>
                <c:pt idx="89">
                  <c:v>43496</c:v>
                </c:pt>
                <c:pt idx="90">
                  <c:v>43465</c:v>
                </c:pt>
                <c:pt idx="91">
                  <c:v>43434</c:v>
                </c:pt>
                <c:pt idx="92">
                  <c:v>43404</c:v>
                </c:pt>
                <c:pt idx="93">
                  <c:v>43371</c:v>
                </c:pt>
                <c:pt idx="94">
                  <c:v>43343</c:v>
                </c:pt>
                <c:pt idx="95">
                  <c:v>43312</c:v>
                </c:pt>
                <c:pt idx="96">
                  <c:v>43280</c:v>
                </c:pt>
                <c:pt idx="97">
                  <c:v>43251</c:v>
                </c:pt>
                <c:pt idx="98">
                  <c:v>43220</c:v>
                </c:pt>
                <c:pt idx="99">
                  <c:v>43189</c:v>
                </c:pt>
                <c:pt idx="100">
                  <c:v>43159</c:v>
                </c:pt>
                <c:pt idx="101">
                  <c:v>43131</c:v>
                </c:pt>
                <c:pt idx="102">
                  <c:v>43098</c:v>
                </c:pt>
                <c:pt idx="103">
                  <c:v>43069</c:v>
                </c:pt>
                <c:pt idx="104">
                  <c:v>43039</c:v>
                </c:pt>
                <c:pt idx="105">
                  <c:v>43007</c:v>
                </c:pt>
                <c:pt idx="106">
                  <c:v>42978</c:v>
                </c:pt>
                <c:pt idx="107">
                  <c:v>42947</c:v>
                </c:pt>
                <c:pt idx="108">
                  <c:v>42916</c:v>
                </c:pt>
                <c:pt idx="109">
                  <c:v>42886</c:v>
                </c:pt>
                <c:pt idx="110">
                  <c:v>42853</c:v>
                </c:pt>
                <c:pt idx="111">
                  <c:v>42825</c:v>
                </c:pt>
                <c:pt idx="112">
                  <c:v>42794</c:v>
                </c:pt>
                <c:pt idx="113">
                  <c:v>42766</c:v>
                </c:pt>
                <c:pt idx="114">
                  <c:v>42734</c:v>
                </c:pt>
                <c:pt idx="115">
                  <c:v>42704</c:v>
                </c:pt>
                <c:pt idx="116">
                  <c:v>42674</c:v>
                </c:pt>
                <c:pt idx="117">
                  <c:v>42643</c:v>
                </c:pt>
                <c:pt idx="118">
                  <c:v>42613</c:v>
                </c:pt>
                <c:pt idx="119">
                  <c:v>42580</c:v>
                </c:pt>
                <c:pt idx="120">
                  <c:v>42551</c:v>
                </c:pt>
                <c:pt idx="121">
                  <c:v>42521</c:v>
                </c:pt>
                <c:pt idx="122">
                  <c:v>42489</c:v>
                </c:pt>
                <c:pt idx="123">
                  <c:v>42460</c:v>
                </c:pt>
                <c:pt idx="124">
                  <c:v>42429</c:v>
                </c:pt>
                <c:pt idx="125">
                  <c:v>42398</c:v>
                </c:pt>
                <c:pt idx="126">
                  <c:v>42369</c:v>
                </c:pt>
                <c:pt idx="127">
                  <c:v>42338</c:v>
                </c:pt>
                <c:pt idx="128">
                  <c:v>42307</c:v>
                </c:pt>
                <c:pt idx="129">
                  <c:v>42277</c:v>
                </c:pt>
                <c:pt idx="130">
                  <c:v>42247</c:v>
                </c:pt>
                <c:pt idx="131">
                  <c:v>42216</c:v>
                </c:pt>
                <c:pt idx="132">
                  <c:v>42185</c:v>
                </c:pt>
                <c:pt idx="133">
                  <c:v>42153</c:v>
                </c:pt>
                <c:pt idx="134">
                  <c:v>42124</c:v>
                </c:pt>
                <c:pt idx="135">
                  <c:v>42094</c:v>
                </c:pt>
                <c:pt idx="136">
                  <c:v>42062</c:v>
                </c:pt>
                <c:pt idx="137">
                  <c:v>42034</c:v>
                </c:pt>
                <c:pt idx="138">
                  <c:v>42004</c:v>
                </c:pt>
                <c:pt idx="139">
                  <c:v>41971</c:v>
                </c:pt>
                <c:pt idx="140">
                  <c:v>41943</c:v>
                </c:pt>
                <c:pt idx="141">
                  <c:v>41912</c:v>
                </c:pt>
                <c:pt idx="142">
                  <c:v>41880</c:v>
                </c:pt>
                <c:pt idx="143">
                  <c:v>41851</c:v>
                </c:pt>
                <c:pt idx="144">
                  <c:v>41820</c:v>
                </c:pt>
                <c:pt idx="145">
                  <c:v>41789</c:v>
                </c:pt>
                <c:pt idx="146">
                  <c:v>41759</c:v>
                </c:pt>
                <c:pt idx="147">
                  <c:v>41729</c:v>
                </c:pt>
                <c:pt idx="148">
                  <c:v>41698</c:v>
                </c:pt>
                <c:pt idx="149">
                  <c:v>41670</c:v>
                </c:pt>
                <c:pt idx="150">
                  <c:v>41639</c:v>
                </c:pt>
                <c:pt idx="151">
                  <c:v>41607</c:v>
                </c:pt>
                <c:pt idx="152">
                  <c:v>41578</c:v>
                </c:pt>
                <c:pt idx="153">
                  <c:v>41547</c:v>
                </c:pt>
                <c:pt idx="154">
                  <c:v>41516</c:v>
                </c:pt>
                <c:pt idx="155">
                  <c:v>41486</c:v>
                </c:pt>
                <c:pt idx="156">
                  <c:v>41453</c:v>
                </c:pt>
                <c:pt idx="157">
                  <c:v>41425</c:v>
                </c:pt>
                <c:pt idx="158">
                  <c:v>41394</c:v>
                </c:pt>
                <c:pt idx="159">
                  <c:v>41362</c:v>
                </c:pt>
                <c:pt idx="160">
                  <c:v>41333</c:v>
                </c:pt>
                <c:pt idx="161">
                  <c:v>41305</c:v>
                </c:pt>
                <c:pt idx="162">
                  <c:v>41274</c:v>
                </c:pt>
                <c:pt idx="163">
                  <c:v>41243</c:v>
                </c:pt>
                <c:pt idx="164">
                  <c:v>41213</c:v>
                </c:pt>
                <c:pt idx="165">
                  <c:v>41180</c:v>
                </c:pt>
                <c:pt idx="166">
                  <c:v>41152</c:v>
                </c:pt>
                <c:pt idx="167">
                  <c:v>41121</c:v>
                </c:pt>
                <c:pt idx="168">
                  <c:v>41089</c:v>
                </c:pt>
                <c:pt idx="169">
                  <c:v>41060</c:v>
                </c:pt>
                <c:pt idx="170">
                  <c:v>41029</c:v>
                </c:pt>
                <c:pt idx="171">
                  <c:v>40998</c:v>
                </c:pt>
                <c:pt idx="172">
                  <c:v>40968</c:v>
                </c:pt>
                <c:pt idx="173">
                  <c:v>40939</c:v>
                </c:pt>
                <c:pt idx="174">
                  <c:v>40907</c:v>
                </c:pt>
                <c:pt idx="175">
                  <c:v>40877</c:v>
                </c:pt>
                <c:pt idx="176">
                  <c:v>40847</c:v>
                </c:pt>
                <c:pt idx="177">
                  <c:v>40816</c:v>
                </c:pt>
                <c:pt idx="178">
                  <c:v>40786</c:v>
                </c:pt>
                <c:pt idx="179">
                  <c:v>40753</c:v>
                </c:pt>
                <c:pt idx="180">
                  <c:v>40724</c:v>
                </c:pt>
                <c:pt idx="181">
                  <c:v>40694</c:v>
                </c:pt>
                <c:pt idx="182">
                  <c:v>40662</c:v>
                </c:pt>
                <c:pt idx="183">
                  <c:v>40633</c:v>
                </c:pt>
                <c:pt idx="184">
                  <c:v>40602</c:v>
                </c:pt>
                <c:pt idx="185">
                  <c:v>40574</c:v>
                </c:pt>
                <c:pt idx="186">
                  <c:v>40543</c:v>
                </c:pt>
                <c:pt idx="187">
                  <c:v>40512</c:v>
                </c:pt>
                <c:pt idx="188">
                  <c:v>40480</c:v>
                </c:pt>
                <c:pt idx="189">
                  <c:v>40451</c:v>
                </c:pt>
                <c:pt idx="190">
                  <c:v>40421</c:v>
                </c:pt>
                <c:pt idx="191">
                  <c:v>40389</c:v>
                </c:pt>
                <c:pt idx="192">
                  <c:v>40359</c:v>
                </c:pt>
                <c:pt idx="193">
                  <c:v>40329</c:v>
                </c:pt>
                <c:pt idx="194">
                  <c:v>40298</c:v>
                </c:pt>
                <c:pt idx="195">
                  <c:v>40268</c:v>
                </c:pt>
                <c:pt idx="196">
                  <c:v>40235</c:v>
                </c:pt>
                <c:pt idx="197">
                  <c:v>40207</c:v>
                </c:pt>
                <c:pt idx="198">
                  <c:v>40178</c:v>
                </c:pt>
                <c:pt idx="199">
                  <c:v>40147</c:v>
                </c:pt>
                <c:pt idx="200">
                  <c:v>40116</c:v>
                </c:pt>
                <c:pt idx="201">
                  <c:v>40086</c:v>
                </c:pt>
                <c:pt idx="202">
                  <c:v>40056</c:v>
                </c:pt>
                <c:pt idx="203">
                  <c:v>40025</c:v>
                </c:pt>
                <c:pt idx="204">
                  <c:v>39994</c:v>
                </c:pt>
                <c:pt idx="205">
                  <c:v>39962</c:v>
                </c:pt>
                <c:pt idx="206">
                  <c:v>39933</c:v>
                </c:pt>
                <c:pt idx="207">
                  <c:v>39903</c:v>
                </c:pt>
                <c:pt idx="208">
                  <c:v>39871</c:v>
                </c:pt>
                <c:pt idx="209">
                  <c:v>39843</c:v>
                </c:pt>
                <c:pt idx="210">
                  <c:v>39813</c:v>
                </c:pt>
                <c:pt idx="211">
                  <c:v>39780</c:v>
                </c:pt>
                <c:pt idx="212">
                  <c:v>39752</c:v>
                </c:pt>
                <c:pt idx="213">
                  <c:v>39721</c:v>
                </c:pt>
                <c:pt idx="214">
                  <c:v>39689</c:v>
                </c:pt>
                <c:pt idx="215">
                  <c:v>39660</c:v>
                </c:pt>
                <c:pt idx="216">
                  <c:v>39629</c:v>
                </c:pt>
                <c:pt idx="217">
                  <c:v>39598</c:v>
                </c:pt>
                <c:pt idx="218">
                  <c:v>39568</c:v>
                </c:pt>
                <c:pt idx="219">
                  <c:v>39538</c:v>
                </c:pt>
                <c:pt idx="220">
                  <c:v>39507</c:v>
                </c:pt>
                <c:pt idx="221">
                  <c:v>39478</c:v>
                </c:pt>
                <c:pt idx="222">
                  <c:v>39447</c:v>
                </c:pt>
                <c:pt idx="223">
                  <c:v>39416</c:v>
                </c:pt>
                <c:pt idx="224">
                  <c:v>39386</c:v>
                </c:pt>
                <c:pt idx="225">
                  <c:v>39353</c:v>
                </c:pt>
                <c:pt idx="226">
                  <c:v>39325</c:v>
                </c:pt>
                <c:pt idx="227">
                  <c:v>39294</c:v>
                </c:pt>
                <c:pt idx="228">
                  <c:v>39262</c:v>
                </c:pt>
                <c:pt idx="229">
                  <c:v>39233</c:v>
                </c:pt>
                <c:pt idx="230">
                  <c:v>39202</c:v>
                </c:pt>
                <c:pt idx="231">
                  <c:v>39171</c:v>
                </c:pt>
                <c:pt idx="232">
                  <c:v>39141</c:v>
                </c:pt>
                <c:pt idx="233">
                  <c:v>39113</c:v>
                </c:pt>
                <c:pt idx="234">
                  <c:v>39080</c:v>
                </c:pt>
                <c:pt idx="235">
                  <c:v>39051</c:v>
                </c:pt>
                <c:pt idx="236">
                  <c:v>39021</c:v>
                </c:pt>
                <c:pt idx="237">
                  <c:v>38989</c:v>
                </c:pt>
                <c:pt idx="238">
                  <c:v>38960</c:v>
                </c:pt>
                <c:pt idx="239">
                  <c:v>38929</c:v>
                </c:pt>
                <c:pt idx="240">
                  <c:v>38898</c:v>
                </c:pt>
                <c:pt idx="241">
                  <c:v>38868</c:v>
                </c:pt>
                <c:pt idx="242">
                  <c:v>38835</c:v>
                </c:pt>
                <c:pt idx="243">
                  <c:v>38807</c:v>
                </c:pt>
                <c:pt idx="244">
                  <c:v>38776</c:v>
                </c:pt>
                <c:pt idx="245">
                  <c:v>38748</c:v>
                </c:pt>
                <c:pt idx="246">
                  <c:v>38716</c:v>
                </c:pt>
                <c:pt idx="247">
                  <c:v>38686</c:v>
                </c:pt>
                <c:pt idx="248">
                  <c:v>38656</c:v>
                </c:pt>
                <c:pt idx="249">
                  <c:v>38625</c:v>
                </c:pt>
                <c:pt idx="250">
                  <c:v>38595</c:v>
                </c:pt>
                <c:pt idx="251">
                  <c:v>38562</c:v>
                </c:pt>
                <c:pt idx="252">
                  <c:v>38533</c:v>
                </c:pt>
                <c:pt idx="253">
                  <c:v>38503</c:v>
                </c:pt>
                <c:pt idx="254">
                  <c:v>38471</c:v>
                </c:pt>
                <c:pt idx="255">
                  <c:v>38442</c:v>
                </c:pt>
                <c:pt idx="256">
                  <c:v>38411</c:v>
                </c:pt>
                <c:pt idx="257">
                  <c:v>38383</c:v>
                </c:pt>
                <c:pt idx="258">
                  <c:v>38352</c:v>
                </c:pt>
                <c:pt idx="259">
                  <c:v>38321</c:v>
                </c:pt>
                <c:pt idx="260">
                  <c:v>38289</c:v>
                </c:pt>
                <c:pt idx="261">
                  <c:v>38260</c:v>
                </c:pt>
                <c:pt idx="262">
                  <c:v>38230</c:v>
                </c:pt>
                <c:pt idx="263">
                  <c:v>38198</c:v>
                </c:pt>
                <c:pt idx="264">
                  <c:v>38168</c:v>
                </c:pt>
                <c:pt idx="265">
                  <c:v>38138</c:v>
                </c:pt>
                <c:pt idx="266">
                  <c:v>38107</c:v>
                </c:pt>
                <c:pt idx="267">
                  <c:v>38077</c:v>
                </c:pt>
                <c:pt idx="268">
                  <c:v>38044</c:v>
                </c:pt>
                <c:pt idx="269">
                  <c:v>38016</c:v>
                </c:pt>
                <c:pt idx="270">
                  <c:v>37986</c:v>
                </c:pt>
                <c:pt idx="271">
                  <c:v>37953</c:v>
                </c:pt>
                <c:pt idx="272">
                  <c:v>37925</c:v>
                </c:pt>
                <c:pt idx="273">
                  <c:v>37894</c:v>
                </c:pt>
                <c:pt idx="274">
                  <c:v>37862</c:v>
                </c:pt>
                <c:pt idx="275">
                  <c:v>37833</c:v>
                </c:pt>
                <c:pt idx="276">
                  <c:v>37802</c:v>
                </c:pt>
                <c:pt idx="277">
                  <c:v>37771</c:v>
                </c:pt>
                <c:pt idx="278">
                  <c:v>37741</c:v>
                </c:pt>
                <c:pt idx="279">
                  <c:v>37711</c:v>
                </c:pt>
                <c:pt idx="280">
                  <c:v>37680</c:v>
                </c:pt>
                <c:pt idx="281">
                  <c:v>37652</c:v>
                </c:pt>
                <c:pt idx="282">
                  <c:v>37621</c:v>
                </c:pt>
                <c:pt idx="283">
                  <c:v>37589</c:v>
                </c:pt>
                <c:pt idx="284">
                  <c:v>37560</c:v>
                </c:pt>
                <c:pt idx="285">
                  <c:v>37529</c:v>
                </c:pt>
                <c:pt idx="286">
                  <c:v>37498</c:v>
                </c:pt>
                <c:pt idx="287">
                  <c:v>37468</c:v>
                </c:pt>
                <c:pt idx="288">
                  <c:v>37435</c:v>
                </c:pt>
                <c:pt idx="289">
                  <c:v>37407</c:v>
                </c:pt>
                <c:pt idx="290">
                  <c:v>37376</c:v>
                </c:pt>
                <c:pt idx="291">
                  <c:v>37344</c:v>
                </c:pt>
                <c:pt idx="292">
                  <c:v>37315</c:v>
                </c:pt>
                <c:pt idx="293">
                  <c:v>37287</c:v>
                </c:pt>
                <c:pt idx="294">
                  <c:v>37256</c:v>
                </c:pt>
                <c:pt idx="295">
                  <c:v>37225</c:v>
                </c:pt>
                <c:pt idx="296">
                  <c:v>37195</c:v>
                </c:pt>
                <c:pt idx="297">
                  <c:v>37162</c:v>
                </c:pt>
                <c:pt idx="298">
                  <c:v>37134</c:v>
                </c:pt>
                <c:pt idx="299">
                  <c:v>37103</c:v>
                </c:pt>
                <c:pt idx="300">
                  <c:v>37071</c:v>
                </c:pt>
                <c:pt idx="301">
                  <c:v>37042</c:v>
                </c:pt>
                <c:pt idx="302">
                  <c:v>37011</c:v>
                </c:pt>
                <c:pt idx="303">
                  <c:v>36980</c:v>
                </c:pt>
                <c:pt idx="304">
                  <c:v>36950</c:v>
                </c:pt>
                <c:pt idx="305">
                  <c:v>36922</c:v>
                </c:pt>
                <c:pt idx="306">
                  <c:v>36889</c:v>
                </c:pt>
                <c:pt idx="307">
                  <c:v>36860</c:v>
                </c:pt>
                <c:pt idx="308">
                  <c:v>36830</c:v>
                </c:pt>
                <c:pt idx="309">
                  <c:v>36798</c:v>
                </c:pt>
                <c:pt idx="310">
                  <c:v>36769</c:v>
                </c:pt>
                <c:pt idx="311">
                  <c:v>36738</c:v>
                </c:pt>
                <c:pt idx="312">
                  <c:v>36707</c:v>
                </c:pt>
                <c:pt idx="313">
                  <c:v>36677</c:v>
                </c:pt>
                <c:pt idx="314">
                  <c:v>36644</c:v>
                </c:pt>
                <c:pt idx="315">
                  <c:v>36616</c:v>
                </c:pt>
                <c:pt idx="316">
                  <c:v>36585</c:v>
                </c:pt>
                <c:pt idx="317">
                  <c:v>36556</c:v>
                </c:pt>
                <c:pt idx="318">
                  <c:v>36525</c:v>
                </c:pt>
                <c:pt idx="319">
                  <c:v>36494</c:v>
                </c:pt>
                <c:pt idx="320">
                  <c:v>36462</c:v>
                </c:pt>
                <c:pt idx="321">
                  <c:v>36433</c:v>
                </c:pt>
                <c:pt idx="322">
                  <c:v>36403</c:v>
                </c:pt>
                <c:pt idx="323">
                  <c:v>36371</c:v>
                </c:pt>
                <c:pt idx="324">
                  <c:v>36341</c:v>
                </c:pt>
                <c:pt idx="325">
                  <c:v>36311</c:v>
                </c:pt>
                <c:pt idx="326">
                  <c:v>36280</c:v>
                </c:pt>
                <c:pt idx="327">
                  <c:v>36250</c:v>
                </c:pt>
                <c:pt idx="328">
                  <c:v>36217</c:v>
                </c:pt>
                <c:pt idx="329">
                  <c:v>36189</c:v>
                </c:pt>
                <c:pt idx="330">
                  <c:v>36160</c:v>
                </c:pt>
                <c:pt idx="331">
                  <c:v>36129</c:v>
                </c:pt>
                <c:pt idx="332">
                  <c:v>36098</c:v>
                </c:pt>
                <c:pt idx="333">
                  <c:v>36068</c:v>
                </c:pt>
                <c:pt idx="334">
                  <c:v>36038</c:v>
                </c:pt>
                <c:pt idx="335">
                  <c:v>36007</c:v>
                </c:pt>
                <c:pt idx="336">
                  <c:v>35976</c:v>
                </c:pt>
                <c:pt idx="337">
                  <c:v>35944</c:v>
                </c:pt>
                <c:pt idx="338">
                  <c:v>35915</c:v>
                </c:pt>
                <c:pt idx="339">
                  <c:v>35885</c:v>
                </c:pt>
                <c:pt idx="340">
                  <c:v>35853</c:v>
                </c:pt>
                <c:pt idx="341">
                  <c:v>35825</c:v>
                </c:pt>
                <c:pt idx="342">
                  <c:v>35795</c:v>
                </c:pt>
                <c:pt idx="343">
                  <c:v>35762</c:v>
                </c:pt>
                <c:pt idx="344">
                  <c:v>35734</c:v>
                </c:pt>
                <c:pt idx="345">
                  <c:v>35703</c:v>
                </c:pt>
                <c:pt idx="346">
                  <c:v>35671</c:v>
                </c:pt>
                <c:pt idx="347">
                  <c:v>35642</c:v>
                </c:pt>
                <c:pt idx="348">
                  <c:v>35611</c:v>
                </c:pt>
                <c:pt idx="349">
                  <c:v>35580</c:v>
                </c:pt>
                <c:pt idx="350">
                  <c:v>35550</c:v>
                </c:pt>
                <c:pt idx="351">
                  <c:v>35520</c:v>
                </c:pt>
                <c:pt idx="352">
                  <c:v>35489</c:v>
                </c:pt>
                <c:pt idx="353">
                  <c:v>35461</c:v>
                </c:pt>
                <c:pt idx="354">
                  <c:v>35430</c:v>
                </c:pt>
                <c:pt idx="355">
                  <c:v>35398</c:v>
                </c:pt>
                <c:pt idx="356">
                  <c:v>35369</c:v>
                </c:pt>
                <c:pt idx="357">
                  <c:v>35338</c:v>
                </c:pt>
                <c:pt idx="358">
                  <c:v>35307</c:v>
                </c:pt>
                <c:pt idx="359">
                  <c:v>35277</c:v>
                </c:pt>
                <c:pt idx="360">
                  <c:v>35244</c:v>
                </c:pt>
                <c:pt idx="361">
                  <c:v>35216</c:v>
                </c:pt>
                <c:pt idx="362">
                  <c:v>35185</c:v>
                </c:pt>
                <c:pt idx="363">
                  <c:v>35153</c:v>
                </c:pt>
                <c:pt idx="364">
                  <c:v>35124</c:v>
                </c:pt>
                <c:pt idx="365">
                  <c:v>35095</c:v>
                </c:pt>
                <c:pt idx="366">
                  <c:v>35062</c:v>
                </c:pt>
                <c:pt idx="367">
                  <c:v>35033</c:v>
                </c:pt>
                <c:pt idx="368">
                  <c:v>35003</c:v>
                </c:pt>
                <c:pt idx="369">
                  <c:v>34971</c:v>
                </c:pt>
                <c:pt idx="370">
                  <c:v>34942</c:v>
                </c:pt>
                <c:pt idx="371">
                  <c:v>34911</c:v>
                </c:pt>
                <c:pt idx="372">
                  <c:v>34880</c:v>
                </c:pt>
                <c:pt idx="373">
                  <c:v>34850</c:v>
                </c:pt>
                <c:pt idx="374">
                  <c:v>34817</c:v>
                </c:pt>
                <c:pt idx="375">
                  <c:v>34789</c:v>
                </c:pt>
                <c:pt idx="376">
                  <c:v>34758</c:v>
                </c:pt>
                <c:pt idx="377">
                  <c:v>34730</c:v>
                </c:pt>
                <c:pt idx="378">
                  <c:v>34698</c:v>
                </c:pt>
                <c:pt idx="379">
                  <c:v>34668</c:v>
                </c:pt>
                <c:pt idx="380">
                  <c:v>34638</c:v>
                </c:pt>
                <c:pt idx="381">
                  <c:v>34607</c:v>
                </c:pt>
                <c:pt idx="382">
                  <c:v>34577</c:v>
                </c:pt>
                <c:pt idx="383">
                  <c:v>34544</c:v>
                </c:pt>
                <c:pt idx="384">
                  <c:v>34515</c:v>
                </c:pt>
                <c:pt idx="385">
                  <c:v>34485</c:v>
                </c:pt>
                <c:pt idx="386">
                  <c:v>34453</c:v>
                </c:pt>
                <c:pt idx="387">
                  <c:v>34424</c:v>
                </c:pt>
                <c:pt idx="388">
                  <c:v>34393</c:v>
                </c:pt>
                <c:pt idx="389">
                  <c:v>34365</c:v>
                </c:pt>
                <c:pt idx="390">
                  <c:v>34334</c:v>
                </c:pt>
                <c:pt idx="391">
                  <c:v>34303</c:v>
                </c:pt>
                <c:pt idx="392">
                  <c:v>34271</c:v>
                </c:pt>
                <c:pt idx="393">
                  <c:v>34242</c:v>
                </c:pt>
                <c:pt idx="394">
                  <c:v>34212</c:v>
                </c:pt>
                <c:pt idx="395">
                  <c:v>34180</c:v>
                </c:pt>
                <c:pt idx="396">
                  <c:v>34150</c:v>
                </c:pt>
                <c:pt idx="397">
                  <c:v>34120</c:v>
                </c:pt>
                <c:pt idx="398">
                  <c:v>34089</c:v>
                </c:pt>
                <c:pt idx="399">
                  <c:v>34059</c:v>
                </c:pt>
                <c:pt idx="400">
                  <c:v>34026</c:v>
                </c:pt>
                <c:pt idx="401">
                  <c:v>33998</c:v>
                </c:pt>
                <c:pt idx="402">
                  <c:v>33969</c:v>
                </c:pt>
                <c:pt idx="403">
                  <c:v>33938</c:v>
                </c:pt>
                <c:pt idx="404">
                  <c:v>33907</c:v>
                </c:pt>
                <c:pt idx="405">
                  <c:v>33877</c:v>
                </c:pt>
                <c:pt idx="406">
                  <c:v>33847</c:v>
                </c:pt>
                <c:pt idx="407">
                  <c:v>33816</c:v>
                </c:pt>
                <c:pt idx="408">
                  <c:v>33785</c:v>
                </c:pt>
                <c:pt idx="409">
                  <c:v>33753</c:v>
                </c:pt>
                <c:pt idx="410">
                  <c:v>33724</c:v>
                </c:pt>
                <c:pt idx="411">
                  <c:v>33694</c:v>
                </c:pt>
                <c:pt idx="412">
                  <c:v>33662</c:v>
                </c:pt>
                <c:pt idx="413">
                  <c:v>33634</c:v>
                </c:pt>
                <c:pt idx="414">
                  <c:v>33603</c:v>
                </c:pt>
                <c:pt idx="415">
                  <c:v>33571</c:v>
                </c:pt>
                <c:pt idx="416">
                  <c:v>33542</c:v>
                </c:pt>
                <c:pt idx="417">
                  <c:v>33511</c:v>
                </c:pt>
                <c:pt idx="418">
                  <c:v>33480</c:v>
                </c:pt>
                <c:pt idx="419">
                  <c:v>33450</c:v>
                </c:pt>
                <c:pt idx="420">
                  <c:v>33417</c:v>
                </c:pt>
                <c:pt idx="421">
                  <c:v>33389</c:v>
                </c:pt>
                <c:pt idx="422">
                  <c:v>33358</c:v>
                </c:pt>
                <c:pt idx="423">
                  <c:v>33326</c:v>
                </c:pt>
                <c:pt idx="424">
                  <c:v>33297</c:v>
                </c:pt>
                <c:pt idx="425">
                  <c:v>33269</c:v>
                </c:pt>
                <c:pt idx="426">
                  <c:v>33238</c:v>
                </c:pt>
                <c:pt idx="427">
                  <c:v>33207</c:v>
                </c:pt>
                <c:pt idx="428">
                  <c:v>33177</c:v>
                </c:pt>
                <c:pt idx="429">
                  <c:v>33144</c:v>
                </c:pt>
                <c:pt idx="430">
                  <c:v>33116</c:v>
                </c:pt>
                <c:pt idx="431">
                  <c:v>33085</c:v>
                </c:pt>
                <c:pt idx="432">
                  <c:v>33053</c:v>
                </c:pt>
                <c:pt idx="433">
                  <c:v>33024</c:v>
                </c:pt>
                <c:pt idx="434">
                  <c:v>32993</c:v>
                </c:pt>
                <c:pt idx="435">
                  <c:v>32962</c:v>
                </c:pt>
                <c:pt idx="436">
                  <c:v>32932</c:v>
                </c:pt>
                <c:pt idx="437">
                  <c:v>32904</c:v>
                </c:pt>
                <c:pt idx="438">
                  <c:v>32871</c:v>
                </c:pt>
                <c:pt idx="439">
                  <c:v>32842</c:v>
                </c:pt>
                <c:pt idx="440">
                  <c:v>32812</c:v>
                </c:pt>
                <c:pt idx="441">
                  <c:v>32780</c:v>
                </c:pt>
                <c:pt idx="442">
                  <c:v>32751</c:v>
                </c:pt>
                <c:pt idx="443">
                  <c:v>32720</c:v>
                </c:pt>
                <c:pt idx="444">
                  <c:v>32689</c:v>
                </c:pt>
                <c:pt idx="445">
                  <c:v>32659</c:v>
                </c:pt>
                <c:pt idx="446">
                  <c:v>32626</c:v>
                </c:pt>
                <c:pt idx="447">
                  <c:v>32598</c:v>
                </c:pt>
                <c:pt idx="448">
                  <c:v>32567</c:v>
                </c:pt>
                <c:pt idx="449">
                  <c:v>32539</c:v>
                </c:pt>
                <c:pt idx="450">
                  <c:v>32507</c:v>
                </c:pt>
                <c:pt idx="451">
                  <c:v>32477</c:v>
                </c:pt>
                <c:pt idx="452">
                  <c:v>32447</c:v>
                </c:pt>
                <c:pt idx="453">
                  <c:v>32416</c:v>
                </c:pt>
                <c:pt idx="454">
                  <c:v>32386</c:v>
                </c:pt>
                <c:pt idx="455">
                  <c:v>32353</c:v>
                </c:pt>
                <c:pt idx="456">
                  <c:v>32324</c:v>
                </c:pt>
                <c:pt idx="457">
                  <c:v>32294</c:v>
                </c:pt>
                <c:pt idx="458">
                  <c:v>32262</c:v>
                </c:pt>
                <c:pt idx="459">
                  <c:v>32233</c:v>
                </c:pt>
                <c:pt idx="460">
                  <c:v>32202</c:v>
                </c:pt>
                <c:pt idx="461">
                  <c:v>32171</c:v>
                </c:pt>
                <c:pt idx="462">
                  <c:v>32142</c:v>
                </c:pt>
                <c:pt idx="463">
                  <c:v>32111</c:v>
                </c:pt>
                <c:pt idx="464">
                  <c:v>32080</c:v>
                </c:pt>
                <c:pt idx="465">
                  <c:v>32050</c:v>
                </c:pt>
                <c:pt idx="466">
                  <c:v>32020</c:v>
                </c:pt>
                <c:pt idx="467">
                  <c:v>31989</c:v>
                </c:pt>
                <c:pt idx="468">
                  <c:v>31958</c:v>
                </c:pt>
                <c:pt idx="469">
                  <c:v>31926</c:v>
                </c:pt>
                <c:pt idx="470">
                  <c:v>31897</c:v>
                </c:pt>
                <c:pt idx="471">
                  <c:v>31867</c:v>
                </c:pt>
                <c:pt idx="472">
                  <c:v>31835</c:v>
                </c:pt>
                <c:pt idx="473">
                  <c:v>31807</c:v>
                </c:pt>
                <c:pt idx="474">
                  <c:v>31777</c:v>
                </c:pt>
                <c:pt idx="475">
                  <c:v>31744</c:v>
                </c:pt>
                <c:pt idx="476">
                  <c:v>31716</c:v>
                </c:pt>
                <c:pt idx="477">
                  <c:v>31685</c:v>
                </c:pt>
                <c:pt idx="478">
                  <c:v>31653</c:v>
                </c:pt>
                <c:pt idx="479">
                  <c:v>31624</c:v>
                </c:pt>
                <c:pt idx="480">
                  <c:v>31593</c:v>
                </c:pt>
                <c:pt idx="481">
                  <c:v>31562</c:v>
                </c:pt>
                <c:pt idx="482">
                  <c:v>31532</c:v>
                </c:pt>
                <c:pt idx="483">
                  <c:v>31502</c:v>
                </c:pt>
                <c:pt idx="484">
                  <c:v>31471</c:v>
                </c:pt>
                <c:pt idx="485">
                  <c:v>31443</c:v>
                </c:pt>
                <c:pt idx="486">
                  <c:v>31412</c:v>
                </c:pt>
                <c:pt idx="487">
                  <c:v>31380</c:v>
                </c:pt>
                <c:pt idx="488">
                  <c:v>31351</c:v>
                </c:pt>
                <c:pt idx="489">
                  <c:v>31320</c:v>
                </c:pt>
                <c:pt idx="490">
                  <c:v>31289</c:v>
                </c:pt>
                <c:pt idx="491">
                  <c:v>31259</c:v>
                </c:pt>
                <c:pt idx="492">
                  <c:v>31226</c:v>
                </c:pt>
                <c:pt idx="493">
                  <c:v>31198</c:v>
                </c:pt>
                <c:pt idx="494">
                  <c:v>31167</c:v>
                </c:pt>
                <c:pt idx="495">
                  <c:v>31135</c:v>
                </c:pt>
                <c:pt idx="496">
                  <c:v>31106</c:v>
                </c:pt>
                <c:pt idx="497">
                  <c:v>31078</c:v>
                </c:pt>
                <c:pt idx="498">
                  <c:v>31047</c:v>
                </c:pt>
                <c:pt idx="499">
                  <c:v>31016</c:v>
                </c:pt>
                <c:pt idx="500">
                  <c:v>30986</c:v>
                </c:pt>
                <c:pt idx="501">
                  <c:v>30953</c:v>
                </c:pt>
                <c:pt idx="502">
                  <c:v>30925</c:v>
                </c:pt>
                <c:pt idx="503">
                  <c:v>30894</c:v>
                </c:pt>
                <c:pt idx="504">
                  <c:v>30862</c:v>
                </c:pt>
                <c:pt idx="505">
                  <c:v>30833</c:v>
                </c:pt>
                <c:pt idx="506">
                  <c:v>30802</c:v>
                </c:pt>
                <c:pt idx="507">
                  <c:v>30771</c:v>
                </c:pt>
                <c:pt idx="508">
                  <c:v>30741</c:v>
                </c:pt>
                <c:pt idx="509">
                  <c:v>30712</c:v>
                </c:pt>
                <c:pt idx="510">
                  <c:v>30680</c:v>
                </c:pt>
                <c:pt idx="511">
                  <c:v>30650</c:v>
                </c:pt>
                <c:pt idx="512">
                  <c:v>30620</c:v>
                </c:pt>
                <c:pt idx="513">
                  <c:v>30589</c:v>
                </c:pt>
                <c:pt idx="514">
                  <c:v>30559</c:v>
                </c:pt>
                <c:pt idx="515">
                  <c:v>30526</c:v>
                </c:pt>
                <c:pt idx="516">
                  <c:v>30497</c:v>
                </c:pt>
                <c:pt idx="517">
                  <c:v>30467</c:v>
                </c:pt>
                <c:pt idx="518">
                  <c:v>30435</c:v>
                </c:pt>
                <c:pt idx="519">
                  <c:v>30406</c:v>
                </c:pt>
                <c:pt idx="520">
                  <c:v>30375</c:v>
                </c:pt>
                <c:pt idx="521">
                  <c:v>30347</c:v>
                </c:pt>
                <c:pt idx="522">
                  <c:v>30316</c:v>
                </c:pt>
                <c:pt idx="523">
                  <c:v>30285</c:v>
                </c:pt>
                <c:pt idx="524">
                  <c:v>30253</c:v>
                </c:pt>
                <c:pt idx="525">
                  <c:v>30224</c:v>
                </c:pt>
                <c:pt idx="526">
                  <c:v>30194</c:v>
                </c:pt>
                <c:pt idx="527">
                  <c:v>30162</c:v>
                </c:pt>
                <c:pt idx="528">
                  <c:v>30132</c:v>
                </c:pt>
                <c:pt idx="529">
                  <c:v>30102</c:v>
                </c:pt>
                <c:pt idx="530">
                  <c:v>30071</c:v>
                </c:pt>
                <c:pt idx="531">
                  <c:v>30041</c:v>
                </c:pt>
                <c:pt idx="532">
                  <c:v>30008</c:v>
                </c:pt>
                <c:pt idx="533">
                  <c:v>29980</c:v>
                </c:pt>
                <c:pt idx="534">
                  <c:v>29951</c:v>
                </c:pt>
                <c:pt idx="535">
                  <c:v>29920</c:v>
                </c:pt>
                <c:pt idx="536">
                  <c:v>29889</c:v>
                </c:pt>
                <c:pt idx="537">
                  <c:v>29859</c:v>
                </c:pt>
                <c:pt idx="538">
                  <c:v>29829</c:v>
                </c:pt>
                <c:pt idx="539">
                  <c:v>29798</c:v>
                </c:pt>
                <c:pt idx="540">
                  <c:v>29767</c:v>
                </c:pt>
                <c:pt idx="541">
                  <c:v>29735</c:v>
                </c:pt>
                <c:pt idx="542">
                  <c:v>29706</c:v>
                </c:pt>
                <c:pt idx="543">
                  <c:v>29676</c:v>
                </c:pt>
                <c:pt idx="544">
                  <c:v>29644</c:v>
                </c:pt>
                <c:pt idx="545">
                  <c:v>29616</c:v>
                </c:pt>
                <c:pt idx="546">
                  <c:v>29586</c:v>
                </c:pt>
                <c:pt idx="547">
                  <c:v>29553</c:v>
                </c:pt>
                <c:pt idx="548">
                  <c:v>29525</c:v>
                </c:pt>
                <c:pt idx="549">
                  <c:v>29494</c:v>
                </c:pt>
                <c:pt idx="550">
                  <c:v>29462</c:v>
                </c:pt>
                <c:pt idx="551">
                  <c:v>29433</c:v>
                </c:pt>
                <c:pt idx="552">
                  <c:v>29402</c:v>
                </c:pt>
                <c:pt idx="553">
                  <c:v>29371</c:v>
                </c:pt>
                <c:pt idx="554">
                  <c:v>29341</c:v>
                </c:pt>
                <c:pt idx="555">
                  <c:v>29311</c:v>
                </c:pt>
                <c:pt idx="556">
                  <c:v>29280</c:v>
                </c:pt>
                <c:pt idx="557">
                  <c:v>29251</c:v>
                </c:pt>
                <c:pt idx="558">
                  <c:v>29220</c:v>
                </c:pt>
                <c:pt idx="559">
                  <c:v>29189</c:v>
                </c:pt>
                <c:pt idx="560">
                  <c:v>29159</c:v>
                </c:pt>
                <c:pt idx="561">
                  <c:v>29126</c:v>
                </c:pt>
                <c:pt idx="562">
                  <c:v>29098</c:v>
                </c:pt>
                <c:pt idx="563">
                  <c:v>29067</c:v>
                </c:pt>
                <c:pt idx="564">
                  <c:v>29035</c:v>
                </c:pt>
                <c:pt idx="565">
                  <c:v>29006</c:v>
                </c:pt>
                <c:pt idx="566">
                  <c:v>28975</c:v>
                </c:pt>
                <c:pt idx="567">
                  <c:v>28944</c:v>
                </c:pt>
                <c:pt idx="568">
                  <c:v>28914</c:v>
                </c:pt>
                <c:pt idx="569">
                  <c:v>28886</c:v>
                </c:pt>
                <c:pt idx="570">
                  <c:v>28853</c:v>
                </c:pt>
                <c:pt idx="571">
                  <c:v>28824</c:v>
                </c:pt>
                <c:pt idx="572">
                  <c:v>28794</c:v>
                </c:pt>
                <c:pt idx="573">
                  <c:v>28762</c:v>
                </c:pt>
                <c:pt idx="574">
                  <c:v>28733</c:v>
                </c:pt>
                <c:pt idx="575">
                  <c:v>28702</c:v>
                </c:pt>
                <c:pt idx="576">
                  <c:v>28671</c:v>
                </c:pt>
                <c:pt idx="577">
                  <c:v>28641</c:v>
                </c:pt>
                <c:pt idx="578">
                  <c:v>28608</c:v>
                </c:pt>
                <c:pt idx="579">
                  <c:v>28580</c:v>
                </c:pt>
                <c:pt idx="580">
                  <c:v>28549</c:v>
                </c:pt>
              </c:numCache>
            </c:numRef>
          </c:cat>
          <c:val>
            <c:numRef>
              <c:f>PastPrices!$D$2:$D$598</c:f>
              <c:numCache>
                <c:formatCode>General</c:formatCode>
                <c:ptCount val="597"/>
                <c:pt idx="12">
                  <c:v>61.393546278285946</c:v>
                </c:pt>
                <c:pt idx="13">
                  <c:v>60.907668483182491</c:v>
                </c:pt>
                <c:pt idx="14">
                  <c:v>60.126271962962363</c:v>
                </c:pt>
                <c:pt idx="15">
                  <c:v>57.397479383349143</c:v>
                </c:pt>
                <c:pt idx="16">
                  <c:v>55.417128833303863</c:v>
                </c:pt>
                <c:pt idx="17">
                  <c:v>52.214381018213381</c:v>
                </c:pt>
                <c:pt idx="18">
                  <c:v>50.381789830726447</c:v>
                </c:pt>
                <c:pt idx="19">
                  <c:v>49.607091377712045</c:v>
                </c:pt>
                <c:pt idx="20">
                  <c:v>49.585657562653715</c:v>
                </c:pt>
                <c:pt idx="21">
                  <c:v>46.57112543604417</c:v>
                </c:pt>
                <c:pt idx="22">
                  <c:v>45.180472722791116</c:v>
                </c:pt>
                <c:pt idx="23">
                  <c:v>43.996790286195015</c:v>
                </c:pt>
                <c:pt idx="24">
                  <c:v>42.711699112104213</c:v>
                </c:pt>
                <c:pt idx="25">
                  <c:v>43.069241939545925</c:v>
                </c:pt>
                <c:pt idx="26">
                  <c:v>42.802524903413868</c:v>
                </c:pt>
                <c:pt idx="27">
                  <c:v>39.13680668306354</c:v>
                </c:pt>
                <c:pt idx="28">
                  <c:v>36.588326072628483</c:v>
                </c:pt>
                <c:pt idx="29">
                  <c:v>36.584173270960932</c:v>
                </c:pt>
                <c:pt idx="30">
                  <c:v>36.568901677731873</c:v>
                </c:pt>
                <c:pt idx="31">
                  <c:v>36.461464679752012</c:v>
                </c:pt>
                <c:pt idx="32">
                  <c:v>35.138462445276794</c:v>
                </c:pt>
                <c:pt idx="33">
                  <c:v>34.764174449820764</c:v>
                </c:pt>
                <c:pt idx="34">
                  <c:v>34.651780882108653</c:v>
                </c:pt>
                <c:pt idx="35">
                  <c:v>34.499332872506315</c:v>
                </c:pt>
                <c:pt idx="36">
                  <c:v>34.570198423542905</c:v>
                </c:pt>
                <c:pt idx="37">
                  <c:v>36.050337314664475</c:v>
                </c:pt>
                <c:pt idx="38">
                  <c:v>36.128168855595028</c:v>
                </c:pt>
                <c:pt idx="39">
                  <c:v>35.051655494290571</c:v>
                </c:pt>
                <c:pt idx="40">
                  <c:v>33.415585598619664</c:v>
                </c:pt>
                <c:pt idx="41">
                  <c:v>34.127858065276683</c:v>
                </c:pt>
                <c:pt idx="42">
                  <c:v>32.726086560462107</c:v>
                </c:pt>
                <c:pt idx="43">
                  <c:v>31.079433718606161</c:v>
                </c:pt>
                <c:pt idx="44">
                  <c:v>30.540641192577471</c:v>
                </c:pt>
                <c:pt idx="45">
                  <c:v>30.057308663012204</c:v>
                </c:pt>
                <c:pt idx="46">
                  <c:v>30.541310999298044</c:v>
                </c:pt>
                <c:pt idx="47">
                  <c:v>30.097764988934795</c:v>
                </c:pt>
                <c:pt idx="48">
                  <c:v>31.533830597842684</c:v>
                </c:pt>
                <c:pt idx="49">
                  <c:v>31.815015459139108</c:v>
                </c:pt>
                <c:pt idx="50">
                  <c:v>32.721263952073997</c:v>
                </c:pt>
                <c:pt idx="51">
                  <c:v>33.031786347731497</c:v>
                </c:pt>
                <c:pt idx="52">
                  <c:v>31.621441316893595</c:v>
                </c:pt>
                <c:pt idx="53">
                  <c:v>30.697242003847371</c:v>
                </c:pt>
                <c:pt idx="54">
                  <c:v>30.638165051092855</c:v>
                </c:pt>
                <c:pt idx="55">
                  <c:v>30.659063020774724</c:v>
                </c:pt>
                <c:pt idx="56">
                  <c:v>29.607466469475572</c:v>
                </c:pt>
                <c:pt idx="57">
                  <c:v>30.150277835827698</c:v>
                </c:pt>
                <c:pt idx="58">
                  <c:v>30.1107592393139</c:v>
                </c:pt>
                <c:pt idx="59">
                  <c:v>30.317327631938525</c:v>
                </c:pt>
                <c:pt idx="60">
                  <c:v>30.027703205962887</c:v>
                </c:pt>
                <c:pt idx="61">
                  <c:v>30.086914120061511</c:v>
                </c:pt>
                <c:pt idx="62">
                  <c:v>29.477122081652119</c:v>
                </c:pt>
                <c:pt idx="63">
                  <c:v>28.940740859817492</c:v>
                </c:pt>
                <c:pt idx="64">
                  <c:v>30.750022773428501</c:v>
                </c:pt>
                <c:pt idx="65">
                  <c:v>31.816489033924373</c:v>
                </c:pt>
                <c:pt idx="66">
                  <c:v>31.847300143070711</c:v>
                </c:pt>
                <c:pt idx="67">
                  <c:v>32.623606132214491</c:v>
                </c:pt>
                <c:pt idx="68">
                  <c:v>33.62402945006189</c:v>
                </c:pt>
                <c:pt idx="69">
                  <c:v>34.044132225205097</c:v>
                </c:pt>
                <c:pt idx="70">
                  <c:v>34.92050733840243</c:v>
                </c:pt>
                <c:pt idx="71">
                  <c:v>33.330386183762812</c:v>
                </c:pt>
                <c:pt idx="72">
                  <c:v>31.44193311578011</c:v>
                </c:pt>
                <c:pt idx="73">
                  <c:v>32.128886888399478</c:v>
                </c:pt>
                <c:pt idx="74">
                  <c:v>31.706774693094562</c:v>
                </c:pt>
                <c:pt idx="75">
                  <c:v>29.738882548051929</c:v>
                </c:pt>
                <c:pt idx="76">
                  <c:v>28.419363308523696</c:v>
                </c:pt>
                <c:pt idx="77">
                  <c:v>27.363479994212874</c:v>
                </c:pt>
                <c:pt idx="78">
                  <c:v>26.060304038666601</c:v>
                </c:pt>
                <c:pt idx="79">
                  <c:v>26.067403989904673</c:v>
                </c:pt>
                <c:pt idx="80">
                  <c:v>26.413694064440762</c:v>
                </c:pt>
                <c:pt idx="81">
                  <c:v>26.809683797643352</c:v>
                </c:pt>
                <c:pt idx="82">
                  <c:v>26.651877334276421</c:v>
                </c:pt>
                <c:pt idx="83">
                  <c:v>24.801871172054589</c:v>
                </c:pt>
                <c:pt idx="84">
                  <c:v>24.189131984074677</c:v>
                </c:pt>
                <c:pt idx="85">
                  <c:v>23.152539103316347</c:v>
                </c:pt>
                <c:pt idx="86">
                  <c:v>23.055551090177421</c:v>
                </c:pt>
                <c:pt idx="87">
                  <c:v>23.303245615445206</c:v>
                </c:pt>
                <c:pt idx="88">
                  <c:v>23.350266047229411</c:v>
                </c:pt>
                <c:pt idx="89">
                  <c:v>23.011745730651963</c:v>
                </c:pt>
                <c:pt idx="90">
                  <c:v>22.426066734183184</c:v>
                </c:pt>
                <c:pt idx="91">
                  <c:v>21.595640362017136</c:v>
                </c:pt>
                <c:pt idx="92">
                  <c:v>21.180226233917942</c:v>
                </c:pt>
                <c:pt idx="93">
                  <c:v>20.932933592682495</c:v>
                </c:pt>
                <c:pt idx="94">
                  <c:v>20.992010545437005</c:v>
                </c:pt>
                <c:pt idx="95">
                  <c:v>21.795644648780147</c:v>
                </c:pt>
                <c:pt idx="96">
                  <c:v>22.541809335498147</c:v>
                </c:pt>
                <c:pt idx="97">
                  <c:v>22.450983544188489</c:v>
                </c:pt>
                <c:pt idx="98">
                  <c:v>22.743823042422878</c:v>
                </c:pt>
                <c:pt idx="99">
                  <c:v>22.952668777897451</c:v>
                </c:pt>
                <c:pt idx="100">
                  <c:v>22.45125146687672</c:v>
                </c:pt>
                <c:pt idx="101">
                  <c:v>22.170334528268523</c:v>
                </c:pt>
                <c:pt idx="102">
                  <c:v>21.600864854437603</c:v>
                </c:pt>
                <c:pt idx="103">
                  <c:v>21.930409760959378</c:v>
                </c:pt>
                <c:pt idx="104">
                  <c:v>21.606893114922755</c:v>
                </c:pt>
                <c:pt idx="105">
                  <c:v>21.647885286221808</c:v>
                </c:pt>
                <c:pt idx="106">
                  <c:v>21.669988908000711</c:v>
                </c:pt>
                <c:pt idx="107">
                  <c:v>21.027510301627363</c:v>
                </c:pt>
                <c:pt idx="108">
                  <c:v>22.458351418114791</c:v>
                </c:pt>
                <c:pt idx="109">
                  <c:v>22.697740340047474</c:v>
                </c:pt>
                <c:pt idx="110">
                  <c:v>22.810133907759575</c:v>
                </c:pt>
                <c:pt idx="111">
                  <c:v>22.079642698302976</c:v>
                </c:pt>
                <c:pt idx="112">
                  <c:v>21.681107699562215</c:v>
                </c:pt>
                <c:pt idx="113">
                  <c:v>21.072655274593963</c:v>
                </c:pt>
                <c:pt idx="114">
                  <c:v>20.530379753618298</c:v>
                </c:pt>
                <c:pt idx="115">
                  <c:v>22.253792445651882</c:v>
                </c:pt>
                <c:pt idx="116">
                  <c:v>22.472417359246815</c:v>
                </c:pt>
                <c:pt idx="117">
                  <c:v>23.274577887804696</c:v>
                </c:pt>
                <c:pt idx="118">
                  <c:v>23.345309477497175</c:v>
                </c:pt>
                <c:pt idx="119">
                  <c:v>23.361116916102688</c:v>
                </c:pt>
                <c:pt idx="120">
                  <c:v>22.046688207650803</c:v>
                </c:pt>
                <c:pt idx="121">
                  <c:v>21.869323388043146</c:v>
                </c:pt>
                <c:pt idx="122">
                  <c:v>21.335755354434923</c:v>
                </c:pt>
                <c:pt idx="123">
                  <c:v>22.081518157120577</c:v>
                </c:pt>
                <c:pt idx="124">
                  <c:v>22.169128876171492</c:v>
                </c:pt>
                <c:pt idx="125">
                  <c:v>20.906811130580159</c:v>
                </c:pt>
                <c:pt idx="126">
                  <c:v>19.595195610354676</c:v>
                </c:pt>
                <c:pt idx="127">
                  <c:v>19.310661715455389</c:v>
                </c:pt>
                <c:pt idx="128">
                  <c:v>20.288847450179777</c:v>
                </c:pt>
                <c:pt idx="129">
                  <c:v>19.989443846083777</c:v>
                </c:pt>
                <c:pt idx="130">
                  <c:v>19.670213963058821</c:v>
                </c:pt>
                <c:pt idx="131">
                  <c:v>19.449981513334514</c:v>
                </c:pt>
                <c:pt idx="132">
                  <c:v>19.575101408737495</c:v>
                </c:pt>
                <c:pt idx="133">
                  <c:v>19.567465612122966</c:v>
                </c:pt>
                <c:pt idx="134">
                  <c:v>19.777650961038681</c:v>
                </c:pt>
                <c:pt idx="135">
                  <c:v>19.91884621773541</c:v>
                </c:pt>
                <c:pt idx="136">
                  <c:v>20.556770138408858</c:v>
                </c:pt>
                <c:pt idx="137">
                  <c:v>20.333456577769915</c:v>
                </c:pt>
                <c:pt idx="138">
                  <c:v>18.562219685887442</c:v>
                </c:pt>
                <c:pt idx="139">
                  <c:v>17.852224562080366</c:v>
                </c:pt>
                <c:pt idx="140">
                  <c:v>18.367171968856663</c:v>
                </c:pt>
                <c:pt idx="141">
                  <c:v>18.264691540609043</c:v>
                </c:pt>
                <c:pt idx="142">
                  <c:v>18.96303202747815</c:v>
                </c:pt>
                <c:pt idx="143">
                  <c:v>18.850370537077822</c:v>
                </c:pt>
                <c:pt idx="144">
                  <c:v>18.55311031448765</c:v>
                </c:pt>
                <c:pt idx="145">
                  <c:v>18.78365778770878</c:v>
                </c:pt>
                <c:pt idx="146">
                  <c:v>19.11896303202748</c:v>
                </c:pt>
                <c:pt idx="147">
                  <c:v>19.876112548962872</c:v>
                </c:pt>
                <c:pt idx="148">
                  <c:v>19.258148868562486</c:v>
                </c:pt>
                <c:pt idx="149">
                  <c:v>18.248750140659411</c:v>
                </c:pt>
                <c:pt idx="150">
                  <c:v>17.463870625492312</c:v>
                </c:pt>
                <c:pt idx="151">
                  <c:v>17.932199484516744</c:v>
                </c:pt>
                <c:pt idx="152">
                  <c:v>18.275006564105862</c:v>
                </c:pt>
                <c:pt idx="153">
                  <c:v>18.713462043392759</c:v>
                </c:pt>
                <c:pt idx="154">
                  <c:v>18.767046581038574</c:v>
                </c:pt>
                <c:pt idx="155">
                  <c:v>17.931127793763832</c:v>
                </c:pt>
                <c:pt idx="156">
                  <c:v>18.53569533975276</c:v>
                </c:pt>
                <c:pt idx="157">
                  <c:v>19.313073019649451</c:v>
                </c:pt>
                <c:pt idx="158">
                  <c:v>20.263394794798014</c:v>
                </c:pt>
                <c:pt idx="159">
                  <c:v>21.86034797798747</c:v>
                </c:pt>
                <c:pt idx="160">
                  <c:v>22.021235552269033</c:v>
                </c:pt>
                <c:pt idx="161">
                  <c:v>22.207039936555905</c:v>
                </c:pt>
                <c:pt idx="162">
                  <c:v>22.370070892343307</c:v>
                </c:pt>
                <c:pt idx="163">
                  <c:v>22.984417616452596</c:v>
                </c:pt>
                <c:pt idx="164">
                  <c:v>23.088773503517825</c:v>
                </c:pt>
                <c:pt idx="165">
                  <c:v>22.865995788255344</c:v>
                </c:pt>
                <c:pt idx="166">
                  <c:v>21.62229866949593</c:v>
                </c:pt>
                <c:pt idx="167">
                  <c:v>21.652172049233474</c:v>
                </c:pt>
                <c:pt idx="168">
                  <c:v>21.953986957523533</c:v>
                </c:pt>
                <c:pt idx="169">
                  <c:v>21.466769548978949</c:v>
                </c:pt>
                <c:pt idx="170">
                  <c:v>21.935366330691615</c:v>
                </c:pt>
                <c:pt idx="171">
                  <c:v>22.279245101033641</c:v>
                </c:pt>
                <c:pt idx="172">
                  <c:v>23.26828170463131</c:v>
                </c:pt>
                <c:pt idx="173">
                  <c:v>22.472819243279162</c:v>
                </c:pt>
                <c:pt idx="174">
                  <c:v>22.664919810739413</c:v>
                </c:pt>
                <c:pt idx="175">
                  <c:v>23.876600168255443</c:v>
                </c:pt>
                <c:pt idx="176">
                  <c:v>22.76016632640485</c:v>
                </c:pt>
                <c:pt idx="177">
                  <c:v>23.763402832478661</c:v>
                </c:pt>
                <c:pt idx="178">
                  <c:v>23.100026256423444</c:v>
                </c:pt>
                <c:pt idx="179">
                  <c:v>20.133452291006911</c:v>
                </c:pt>
                <c:pt idx="180">
                  <c:v>20.015164424153763</c:v>
                </c:pt>
                <c:pt idx="181">
                  <c:v>19.608189860733788</c:v>
                </c:pt>
                <c:pt idx="182">
                  <c:v>18.929541691449515</c:v>
                </c:pt>
                <c:pt idx="183">
                  <c:v>18.634156927676948</c:v>
                </c:pt>
                <c:pt idx="184">
                  <c:v>18.160067730855584</c:v>
                </c:pt>
                <c:pt idx="185">
                  <c:v>18.06616082863129</c:v>
                </c:pt>
                <c:pt idx="186">
                  <c:v>18.784059671741122</c:v>
                </c:pt>
                <c:pt idx="187">
                  <c:v>18.585261037075142</c:v>
                </c:pt>
                <c:pt idx="188">
                  <c:v>18.304745982499291</c:v>
                </c:pt>
                <c:pt idx="189">
                  <c:v>17.594884820036331</c:v>
                </c:pt>
                <c:pt idx="190">
                  <c:v>16.947047759898403</c:v>
                </c:pt>
                <c:pt idx="191">
                  <c:v>16.681134491831038</c:v>
                </c:pt>
                <c:pt idx="192">
                  <c:v>17.148391660102561</c:v>
                </c:pt>
                <c:pt idx="193">
                  <c:v>16.82567878213063</c:v>
                </c:pt>
                <c:pt idx="194">
                  <c:v>15.469856018347345</c:v>
                </c:pt>
                <c:pt idx="195">
                  <c:v>15.258063133302253</c:v>
                </c:pt>
                <c:pt idx="196">
                  <c:v>15.502810508999525</c:v>
                </c:pt>
                <c:pt idx="197">
                  <c:v>15.620294607787974</c:v>
                </c:pt>
                <c:pt idx="198">
                  <c:v>16.04562187535165</c:v>
                </c:pt>
                <c:pt idx="199">
                  <c:v>15.990697724264686</c:v>
                </c:pt>
                <c:pt idx="200">
                  <c:v>14.730523360179184</c:v>
                </c:pt>
                <c:pt idx="201">
                  <c:v>14.437683861944796</c:v>
                </c:pt>
                <c:pt idx="202">
                  <c:v>13.826284287406025</c:v>
                </c:pt>
                <c:pt idx="203">
                  <c:v>14.059644948853558</c:v>
                </c:pt>
                <c:pt idx="204">
                  <c:v>14.269562375081046</c:v>
                </c:pt>
                <c:pt idx="205">
                  <c:v>14.316180922832908</c:v>
                </c:pt>
                <c:pt idx="206">
                  <c:v>14.607546846282037</c:v>
                </c:pt>
                <c:pt idx="207">
                  <c:v>15.656464170698905</c:v>
                </c:pt>
                <c:pt idx="208">
                  <c:v>15.733625904908878</c:v>
                </c:pt>
                <c:pt idx="209">
                  <c:v>14.096082434452715</c:v>
                </c:pt>
                <c:pt idx="210">
                  <c:v>13.509867592607476</c:v>
                </c:pt>
                <c:pt idx="211">
                  <c:v>12.432818385926556</c:v>
                </c:pt>
                <c:pt idx="212">
                  <c:v>12.72458619340803</c:v>
                </c:pt>
                <c:pt idx="213">
                  <c:v>11.762475819977388</c:v>
                </c:pt>
                <c:pt idx="214">
                  <c:v>11.845397891984287</c:v>
                </c:pt>
                <c:pt idx="215">
                  <c:v>12.756067109274946</c:v>
                </c:pt>
                <c:pt idx="216">
                  <c:v>12.11533000037509</c:v>
                </c:pt>
                <c:pt idx="217">
                  <c:v>11.892284362424379</c:v>
                </c:pt>
                <c:pt idx="218">
                  <c:v>12.356192497093039</c:v>
                </c:pt>
                <c:pt idx="219">
                  <c:v>12.981524051419722</c:v>
                </c:pt>
                <c:pt idx="220">
                  <c:v>12.347217087037365</c:v>
                </c:pt>
                <c:pt idx="221">
                  <c:v>12.049287057726623</c:v>
                </c:pt>
                <c:pt idx="222">
                  <c:v>10.813493658269969</c:v>
                </c:pt>
                <c:pt idx="223">
                  <c:v>10.442420735072686</c:v>
                </c:pt>
                <c:pt idx="224">
                  <c:v>9.8604926562391153</c:v>
                </c:pt>
                <c:pt idx="225">
                  <c:v>9.7961912110641354</c:v>
                </c:pt>
                <c:pt idx="226">
                  <c:v>9.4352993500195588</c:v>
                </c:pt>
                <c:pt idx="227">
                  <c:v>9.3648356830153094</c:v>
                </c:pt>
                <c:pt idx="228">
                  <c:v>9.3545206595184887</c:v>
                </c:pt>
                <c:pt idx="229">
                  <c:v>9.78601014891143</c:v>
                </c:pt>
                <c:pt idx="230">
                  <c:v>10.314621612787416</c:v>
                </c:pt>
                <c:pt idx="231">
                  <c:v>10.254874853312328</c:v>
                </c:pt>
                <c:pt idx="232">
                  <c:v>10.424603876305454</c:v>
                </c:pt>
                <c:pt idx="233">
                  <c:v>9.9423430374931012</c:v>
                </c:pt>
                <c:pt idx="234">
                  <c:v>9.7179577861012412</c:v>
                </c:pt>
                <c:pt idx="235">
                  <c:v>9.5573381345079067</c:v>
                </c:pt>
                <c:pt idx="236">
                  <c:v>8.8539071165624446</c:v>
                </c:pt>
                <c:pt idx="237">
                  <c:v>8.9416517969574691</c:v>
                </c:pt>
                <c:pt idx="238">
                  <c:v>9.4863386221271977</c:v>
                </c:pt>
                <c:pt idx="239">
                  <c:v>9.580647408383836</c:v>
                </c:pt>
                <c:pt idx="240">
                  <c:v>8.8940955197968066</c:v>
                </c:pt>
                <c:pt idx="241">
                  <c:v>10.042948006923123</c:v>
                </c:pt>
                <c:pt idx="242">
                  <c:v>9.3534489687655729</c:v>
                </c:pt>
                <c:pt idx="243">
                  <c:v>8.6370237004410004</c:v>
                </c:pt>
                <c:pt idx="244">
                  <c:v>8.54325075956082</c:v>
                </c:pt>
                <c:pt idx="245">
                  <c:v>8.5238263646642114</c:v>
                </c:pt>
                <c:pt idx="246">
                  <c:v>7.9297078035162185</c:v>
                </c:pt>
                <c:pt idx="247">
                  <c:v>7.543229325745763</c:v>
                </c:pt>
                <c:pt idx="248">
                  <c:v>7.4135547446428864</c:v>
                </c:pt>
                <c:pt idx="249">
                  <c:v>7.1953317150802967</c:v>
                </c:pt>
                <c:pt idx="250">
                  <c:v>7.0683363608597105</c:v>
                </c:pt>
                <c:pt idx="251">
                  <c:v>6.9579522133093263</c:v>
                </c:pt>
                <c:pt idx="252">
                  <c:v>7.1536697370606737</c:v>
                </c:pt>
                <c:pt idx="253">
                  <c:v>7.0947267456502763</c:v>
                </c:pt>
                <c:pt idx="254">
                  <c:v>7.1106681455999041</c:v>
                </c:pt>
                <c:pt idx="255">
                  <c:v>7.0690061675802838</c:v>
                </c:pt>
                <c:pt idx="256">
                  <c:v>7.0261385374636296</c:v>
                </c:pt>
                <c:pt idx="257">
                  <c:v>6.9618370922886497</c:v>
                </c:pt>
                <c:pt idx="258">
                  <c:v>7.2181051435797681</c:v>
                </c:pt>
                <c:pt idx="259">
                  <c:v>7.0392667491868544</c:v>
                </c:pt>
                <c:pt idx="260">
                  <c:v>7.0237272332695664</c:v>
                </c:pt>
                <c:pt idx="261">
                  <c:v>6.9903708585850479</c:v>
                </c:pt>
                <c:pt idx="262">
                  <c:v>7.038596942466282</c:v>
                </c:pt>
                <c:pt idx="263">
                  <c:v>7.0497157340277896</c:v>
                </c:pt>
                <c:pt idx="264">
                  <c:v>7.1367906077022401</c:v>
                </c:pt>
                <c:pt idx="265">
                  <c:v>7.0844117221534564</c:v>
                </c:pt>
                <c:pt idx="266">
                  <c:v>7.2486483300378843</c:v>
                </c:pt>
                <c:pt idx="267">
                  <c:v>7.231635239335338</c:v>
                </c:pt>
                <c:pt idx="268">
                  <c:v>7.209799540244668</c:v>
                </c:pt>
                <c:pt idx="269">
                  <c:v>7.1858204596481636</c:v>
                </c:pt>
                <c:pt idx="270">
                  <c:v>7.1637168378692637</c:v>
                </c:pt>
                <c:pt idx="271">
                  <c:v>6.8552038623734735</c:v>
                </c:pt>
                <c:pt idx="272">
                  <c:v>6.7138746443326314</c:v>
                </c:pt>
                <c:pt idx="273">
                  <c:v>6.9215147277101705</c:v>
                </c:pt>
                <c:pt idx="274">
                  <c:v>6.7282085081528873</c:v>
                </c:pt>
                <c:pt idx="275">
                  <c:v>6.4905610836936889</c:v>
                </c:pt>
                <c:pt idx="276">
                  <c:v>6.4535877527180761</c:v>
                </c:pt>
                <c:pt idx="277">
                  <c:v>6.5852717539826697</c:v>
                </c:pt>
                <c:pt idx="278">
                  <c:v>6.4107201226014219</c:v>
                </c:pt>
                <c:pt idx="279">
                  <c:v>6.7337009232615843</c:v>
                </c:pt>
                <c:pt idx="280">
                  <c:v>7.2722255266020444</c:v>
                </c:pt>
                <c:pt idx="281">
                  <c:v>7.3625154725352449</c:v>
                </c:pt>
                <c:pt idx="282">
                  <c:v>6.9308920217981909</c:v>
                </c:pt>
                <c:pt idx="283">
                  <c:v>6.7177595233119538</c:v>
                </c:pt>
                <c:pt idx="284">
                  <c:v>6.691369138521388</c:v>
                </c:pt>
                <c:pt idx="285">
                  <c:v>6.731825464443979</c:v>
                </c:pt>
                <c:pt idx="286">
                  <c:v>6.52391745837821</c:v>
                </c:pt>
                <c:pt idx="287">
                  <c:v>6.4854705526173371</c:v>
                </c:pt>
                <c:pt idx="288">
                  <c:v>6.5915679371560545</c:v>
                </c:pt>
                <c:pt idx="289">
                  <c:v>6.5217740768723775</c:v>
                </c:pt>
                <c:pt idx="290">
                  <c:v>6.408442779751474</c:v>
                </c:pt>
                <c:pt idx="291">
                  <c:v>6.2519759298256892</c:v>
                </c:pt>
                <c:pt idx="292">
                  <c:v>6.3178849111300437</c:v>
                </c:pt>
                <c:pt idx="293">
                  <c:v>6.0340208229513292</c:v>
                </c:pt>
                <c:pt idx="294">
                  <c:v>5.8212902084974356</c:v>
                </c:pt>
                <c:pt idx="295">
                  <c:v>5.8942991410398617</c:v>
                </c:pt>
                <c:pt idx="296">
                  <c:v>5.9564572047090092</c:v>
                </c:pt>
                <c:pt idx="297">
                  <c:v>5.9500270601915117</c:v>
                </c:pt>
                <c:pt idx="298">
                  <c:v>5.6202142309815084</c:v>
                </c:pt>
                <c:pt idx="299">
                  <c:v>5.4815642398229567</c:v>
                </c:pt>
                <c:pt idx="300">
                  <c:v>5.5192073775191428</c:v>
                </c:pt>
                <c:pt idx="301">
                  <c:v>5.6231613805520277</c:v>
                </c:pt>
                <c:pt idx="302">
                  <c:v>5.432802310565263</c:v>
                </c:pt>
                <c:pt idx="303">
                  <c:v>5.4904056885345165</c:v>
                </c:pt>
                <c:pt idx="304">
                  <c:v>5.3405029444703436</c:v>
                </c:pt>
                <c:pt idx="305">
                  <c:v>5.3442538621055515</c:v>
                </c:pt>
                <c:pt idx="306">
                  <c:v>5.5422487287068449</c:v>
                </c:pt>
                <c:pt idx="307">
                  <c:v>5.4956301809549837</c:v>
                </c:pt>
                <c:pt idx="308">
                  <c:v>5.468168105411503</c:v>
                </c:pt>
                <c:pt idx="309">
                  <c:v>5.4456625996002597</c:v>
                </c:pt>
                <c:pt idx="310">
                  <c:v>5.4514229373971848</c:v>
                </c:pt>
                <c:pt idx="311">
                  <c:v>5.5752032193590217</c:v>
                </c:pt>
                <c:pt idx="312">
                  <c:v>5.6519630695366549</c:v>
                </c:pt>
                <c:pt idx="313">
                  <c:v>5.5163941892927379</c:v>
                </c:pt>
                <c:pt idx="314">
                  <c:v>5.5007207120313364</c:v>
                </c:pt>
                <c:pt idx="315">
                  <c:v>5.6049426377524494</c:v>
                </c:pt>
                <c:pt idx="316">
                  <c:v>5.829461850488423</c:v>
                </c:pt>
                <c:pt idx="317">
                  <c:v>5.5184036094544551</c:v>
                </c:pt>
                <c:pt idx="318">
                  <c:v>5.5916804646851102</c:v>
                </c:pt>
                <c:pt idx="319">
                  <c:v>5.7655622893457856</c:v>
                </c:pt>
                <c:pt idx="320">
                  <c:v>6.1474860814163454</c:v>
                </c:pt>
                <c:pt idx="321">
                  <c:v>5.2373527095021455</c:v>
                </c:pt>
                <c:pt idx="322">
                  <c:v>5.1325949384045746</c:v>
                </c:pt>
                <c:pt idx="323">
                  <c:v>5.1041951334522908</c:v>
                </c:pt>
                <c:pt idx="324">
                  <c:v>5.1443835366866528</c:v>
                </c:pt>
                <c:pt idx="325">
                  <c:v>5.4124401862598521</c:v>
                </c:pt>
                <c:pt idx="326">
                  <c:v>5.6294575637254116</c:v>
                </c:pt>
                <c:pt idx="327">
                  <c:v>5.8120468757535324</c:v>
                </c:pt>
                <c:pt idx="328">
                  <c:v>5.7651604053134431</c:v>
                </c:pt>
                <c:pt idx="329">
                  <c:v>5.84352779162045</c:v>
                </c:pt>
                <c:pt idx="330">
                  <c:v>5.7608558254430111</c:v>
                </c:pt>
                <c:pt idx="331">
                  <c:v>6.1482520723819931</c:v>
                </c:pt>
                <c:pt idx="332">
                  <c:v>5.238108117521608</c:v>
                </c:pt>
                <c:pt idx="333">
                  <c:v>5.1322097995402451</c:v>
                </c:pt>
                <c:pt idx="334">
                  <c:v>5.1031535840018005</c:v>
                </c:pt>
                <c:pt idx="335">
                  <c:v>5.1443432143220758</c:v>
                </c:pt>
                <c:pt idx="336">
                  <c:v>5.410545035124664</c:v>
                </c:pt>
                <c:pt idx="337">
                  <c:v>5.6302282433381023</c:v>
                </c:pt>
                <c:pt idx="338">
                  <c:v>5.8130151483487928</c:v>
                </c:pt>
                <c:pt idx="339">
                  <c:v>5.763368538374567</c:v>
                </c:pt>
                <c:pt idx="340">
                  <c:v>5.8438076368683047</c:v>
                </c:pt>
                <c:pt idx="341">
                  <c:v>6.0251115897996481</c:v>
                </c:pt>
                <c:pt idx="342">
                  <c:v>6.0708725170264879</c:v>
                </c:pt>
                <c:pt idx="343">
                  <c:v>6.1219411266684887</c:v>
                </c:pt>
                <c:pt idx="344">
                  <c:v>5.8901050792783236</c:v>
                </c:pt>
                <c:pt idx="345">
                  <c:v>5.8310049512112787</c:v>
                </c:pt>
                <c:pt idx="346">
                  <c:v>5.8301891266256209</c:v>
                </c:pt>
                <c:pt idx="347">
                  <c:v>5.7376413961987129</c:v>
                </c:pt>
                <c:pt idx="348">
                  <c:v>5.7912981390090081</c:v>
                </c:pt>
                <c:pt idx="349">
                  <c:v>5.9039927178613336</c:v>
                </c:pt>
                <c:pt idx="350">
                  <c:v>5.6179731916558149</c:v>
                </c:pt>
                <c:pt idx="351">
                  <c:v>5.7157829236795434</c:v>
                </c:pt>
                <c:pt idx="352">
                  <c:v>5.5796142984980248</c:v>
                </c:pt>
                <c:pt idx="353">
                  <c:v>5.5153655001312814</c:v>
                </c:pt>
                <c:pt idx="354">
                  <c:v>5.7915440920368013</c:v>
                </c:pt>
                <c:pt idx="355">
                  <c:v>6.0331656137305014</c:v>
                </c:pt>
                <c:pt idx="356">
                  <c:v>5.9976572840141253</c:v>
                </c:pt>
                <c:pt idx="357">
                  <c:v>6.0308681766789372</c:v>
                </c:pt>
                <c:pt idx="358">
                  <c:v>5.9791592318120692</c:v>
                </c:pt>
                <c:pt idx="359">
                  <c:v>6.3167913846780364</c:v>
                </c:pt>
                <c:pt idx="360">
                  <c:v>6.3572695462997197</c:v>
                </c:pt>
                <c:pt idx="361">
                  <c:v>6.4316462241655543</c:v>
                </c:pt>
                <c:pt idx="362">
                  <c:v>6.4613497409187612</c:v>
                </c:pt>
                <c:pt idx="363">
                  <c:v>6.290875892852358</c:v>
                </c:pt>
                <c:pt idx="364">
                  <c:v>6.4176603919173081</c:v>
                </c:pt>
                <c:pt idx="365">
                  <c:v>6.7288540678701745</c:v>
                </c:pt>
                <c:pt idx="366">
                  <c:v>6.7733655376404576</c:v>
                </c:pt>
                <c:pt idx="367">
                  <c:v>6.8953037171593756</c:v>
                </c:pt>
                <c:pt idx="368">
                  <c:v>7.028543545474518</c:v>
                </c:pt>
                <c:pt idx="369">
                  <c:v>7.1191169536118659</c:v>
                </c:pt>
                <c:pt idx="370">
                  <c:v>7.0335886636552161</c:v>
                </c:pt>
                <c:pt idx="371">
                  <c:v>7.0483153021364142</c:v>
                </c:pt>
                <c:pt idx="372">
                  <c:v>7.1889960133104003</c:v>
                </c:pt>
                <c:pt idx="373">
                  <c:v>7.1522985087423177</c:v>
                </c:pt>
                <c:pt idx="374">
                  <c:v>7.2464630186313439</c:v>
                </c:pt>
                <c:pt idx="375">
                  <c:v>7.4591684483525436</c:v>
                </c:pt>
                <c:pt idx="376">
                  <c:v>7.313781407237129</c:v>
                </c:pt>
                <c:pt idx="377">
                  <c:v>7.1118948296279614</c:v>
                </c:pt>
                <c:pt idx="378">
                  <c:v>6.983161059044801</c:v>
                </c:pt>
                <c:pt idx="379">
                  <c:v>6.9047021771397654</c:v>
                </c:pt>
                <c:pt idx="380">
                  <c:v>6.9310563923674184</c:v>
                </c:pt>
                <c:pt idx="381">
                  <c:v>6.9679485427684984</c:v>
                </c:pt>
                <c:pt idx="382">
                  <c:v>7.0445556770138404</c:v>
                </c:pt>
                <c:pt idx="383">
                  <c:v>7.1515677496101713</c:v>
                </c:pt>
                <c:pt idx="384">
                  <c:v>7.0220983972864781</c:v>
                </c:pt>
                <c:pt idx="385">
                  <c:v>7.2126849336355505</c:v>
                </c:pt>
                <c:pt idx="386">
                  <c:v>7.2087240985741152</c:v>
                </c:pt>
                <c:pt idx="387">
                  <c:v>7.0656707980345193</c:v>
                </c:pt>
                <c:pt idx="388">
                  <c:v>7.1685011333129713</c:v>
                </c:pt>
                <c:pt idx="389">
                  <c:v>7.0449558195487105</c:v>
                </c:pt>
                <c:pt idx="390">
                  <c:v>7.025207506122034</c:v>
                </c:pt>
                <c:pt idx="391">
                  <c:v>7.0469475568130058</c:v>
                </c:pt>
                <c:pt idx="392">
                  <c:v>7.1041741015212656</c:v>
                </c:pt>
                <c:pt idx="393">
                  <c:v>7.0250743485459832</c:v>
                </c:pt>
                <c:pt idx="394">
                  <c:v>7.1386261460392983</c:v>
                </c:pt>
                <c:pt idx="395">
                  <c:v>7.1449313046227392</c:v>
                </c:pt>
                <c:pt idx="396">
                  <c:v>7.0556384329737822</c:v>
                </c:pt>
                <c:pt idx="397">
                  <c:v>6.9862140380771729</c:v>
                </c:pt>
                <c:pt idx="398">
                  <c:v>7.021234212655596</c:v>
                </c:pt>
                <c:pt idx="399">
                  <c:v>6.8653905509026325</c:v>
                </c:pt>
                <c:pt idx="400">
                  <c:v>6.8250246488873181</c:v>
                </c:pt>
                <c:pt idx="401">
                  <c:v>6.8456182583953584</c:v>
                </c:pt>
                <c:pt idx="402">
                  <c:v>6.5970298090782933</c:v>
                </c:pt>
                <c:pt idx="403">
                  <c:v>6.4675745226957311</c:v>
                </c:pt>
                <c:pt idx="404">
                  <c:v>6.2883791213207516</c:v>
                </c:pt>
                <c:pt idx="405">
                  <c:v>6.6264201242089591</c:v>
                </c:pt>
                <c:pt idx="406">
                  <c:v>6.7349288129417371</c:v>
                </c:pt>
                <c:pt idx="407">
                  <c:v>6.3735068668584995</c:v>
                </c:pt>
                <c:pt idx="408">
                  <c:v>6.2438375102480439</c:v>
                </c:pt>
                <c:pt idx="409">
                  <c:v>5.7840241719849326</c:v>
                </c:pt>
                <c:pt idx="410">
                  <c:v>5.5145957582479994</c:v>
                </c:pt>
                <c:pt idx="411">
                  <c:v>5.5578659422037182</c:v>
                </c:pt>
                <c:pt idx="412">
                  <c:v>5.6252641717705938</c:v>
                </c:pt>
                <c:pt idx="413">
                  <c:v>5.7054508870920202</c:v>
                </c:pt>
                <c:pt idx="414">
                  <c:v>5.6875480251418651</c:v>
                </c:pt>
                <c:pt idx="415">
                  <c:v>5.7501922345288046</c:v>
                </c:pt>
                <c:pt idx="416">
                  <c:v>5.6525563843297375</c:v>
                </c:pt>
                <c:pt idx="417">
                  <c:v>5.4689540566174237</c:v>
                </c:pt>
                <c:pt idx="418">
                  <c:v>5.6297733106134897</c:v>
                </c:pt>
                <c:pt idx="419">
                  <c:v>5.4586268426382887</c:v>
                </c:pt>
                <c:pt idx="420">
                  <c:v>5.4182281200936657</c:v>
                </c:pt>
                <c:pt idx="421">
                  <c:v>5.3917495887386737</c:v>
                </c:pt>
                <c:pt idx="422">
                  <c:v>5.4983403529077659</c:v>
                </c:pt>
                <c:pt idx="423">
                  <c:v>5.6044669410195</c:v>
                </c:pt>
                <c:pt idx="424">
                  <c:v>5.4943169578986293</c:v>
                </c:pt>
                <c:pt idx="425">
                  <c:v>5.5398540357194523</c:v>
                </c:pt>
                <c:pt idx="426">
                  <c:v>5.4541765128254589</c:v>
                </c:pt>
                <c:pt idx="427">
                  <c:v>5.4188096462884685</c:v>
                </c:pt>
                <c:pt idx="428">
                  <c:v>5.3120275853199805</c:v>
                </c:pt>
                <c:pt idx="429">
                  <c:v>5.4647127065014125</c:v>
                </c:pt>
                <c:pt idx="430">
                  <c:v>5.6590393096168166</c:v>
                </c:pt>
                <c:pt idx="431">
                  <c:v>5.6170378735512081</c:v>
                </c:pt>
                <c:pt idx="432">
                  <c:v>5.4993774816338998</c:v>
                </c:pt>
                <c:pt idx="433">
                  <c:v>5.538781541198472</c:v>
                </c:pt>
                <c:pt idx="434">
                  <c:v>5.6327234073335797</c:v>
                </c:pt>
                <c:pt idx="435">
                  <c:v>5.6265869060823812</c:v>
                </c:pt>
                <c:pt idx="436">
                  <c:v>5.9412850107972845</c:v>
                </c:pt>
                <c:pt idx="437">
                  <c:v>5.8743930211498174</c:v>
                </c:pt>
                <c:pt idx="438">
                  <c:v>5.9514119525669686</c:v>
                </c:pt>
                <c:pt idx="439">
                  <c:v>5.9134009570198423</c:v>
                </c:pt>
                <c:pt idx="440">
                  <c:v>6.0348236532866082</c:v>
                </c:pt>
                <c:pt idx="441">
                  <c:v>6.0539604331774024</c:v>
                </c:pt>
                <c:pt idx="442">
                  <c:v>5.617488787435498</c:v>
                </c:pt>
                <c:pt idx="443">
                  <c:v>5.5320419459760695</c:v>
                </c:pt>
                <c:pt idx="444">
                  <c:v>5.8071414792547458</c:v>
                </c:pt>
                <c:pt idx="445">
                  <c:v>5.8321939921016401</c:v>
                </c:pt>
                <c:pt idx="446">
                  <c:v>6.2105321748356301</c:v>
                </c:pt>
                <c:pt idx="447">
                  <c:v>6.6788408056971083</c:v>
                </c:pt>
                <c:pt idx="448">
                  <c:v>6.4369860573033044</c:v>
                </c:pt>
                <c:pt idx="449">
                  <c:v>6.3710995815047609</c:v>
                </c:pt>
                <c:pt idx="450">
                  <c:v>6.1794363978330411</c:v>
                </c:pt>
                <c:pt idx="451">
                  <c:v>5.7734906575358611</c:v>
                </c:pt>
                <c:pt idx="452">
                  <c:v>5.7310387094699955</c:v>
                </c:pt>
                <c:pt idx="453">
                  <c:v>5.7513429624747481</c:v>
                </c:pt>
                <c:pt idx="454">
                  <c:v>5.9515235423666155</c:v>
                </c:pt>
                <c:pt idx="455">
                  <c:v>5.8985789380616342</c:v>
                </c:pt>
                <c:pt idx="456">
                  <c:v>5.9380980704208</c:v>
                </c:pt>
                <c:pt idx="457">
                  <c:v>6.1212908783041575</c:v>
                </c:pt>
                <c:pt idx="458">
                  <c:v>6.2436614850418772</c:v>
                </c:pt>
                <c:pt idx="459">
                  <c:v>6.1787840060872048</c:v>
                </c:pt>
                <c:pt idx="460">
                  <c:v>6.457193322294918</c:v>
                </c:pt>
                <c:pt idx="461">
                  <c:v>6.720201102769785</c:v>
                </c:pt>
                <c:pt idx="462">
                  <c:v>6.8537361818873554</c:v>
                </c:pt>
                <c:pt idx="463">
                  <c:v>6.5581354724280763</c:v>
                </c:pt>
                <c:pt idx="464">
                  <c:v>6.7999020742574521</c:v>
                </c:pt>
                <c:pt idx="465">
                  <c:v>7.0674693630406002</c:v>
                </c:pt>
                <c:pt idx="466">
                  <c:v>7.0799178549037887</c:v>
                </c:pt>
                <c:pt idx="467">
                  <c:v>7.3547520107597766</c:v>
                </c:pt>
                <c:pt idx="468">
                  <c:v>7.4722173549600521</c:v>
                </c:pt>
                <c:pt idx="469">
                  <c:v>7.4767352012903165</c:v>
                </c:pt>
                <c:pt idx="470">
                  <c:v>7.3973696690083113</c:v>
                </c:pt>
                <c:pt idx="471">
                  <c:v>7.5186541171679524</c:v>
                </c:pt>
                <c:pt idx="472">
                  <c:v>8.2099443524576561</c:v>
                </c:pt>
                <c:pt idx="473">
                  <c:v>8.5222677244254399</c:v>
                </c:pt>
                <c:pt idx="474">
                  <c:v>8.2333961612037232</c:v>
                </c:pt>
                <c:pt idx="475">
                  <c:v>8.1472686621548505</c:v>
                </c:pt>
                <c:pt idx="476">
                  <c:v>8.1073287572138177</c:v>
                </c:pt>
                <c:pt idx="477">
                  <c:v>8.1827842257838093</c:v>
                </c:pt>
                <c:pt idx="478">
                  <c:v>7.9979679403711268</c:v>
                </c:pt>
                <c:pt idx="479">
                  <c:v>8.070715246408497</c:v>
                </c:pt>
                <c:pt idx="480">
                  <c:v>8.2686412568789152</c:v>
                </c:pt>
                <c:pt idx="481">
                  <c:v>7.7475156868733963</c:v>
                </c:pt>
                <c:pt idx="482">
                  <c:v>7.2117788191039587</c:v>
                </c:pt>
                <c:pt idx="483">
                  <c:v>7.1663130087182036</c:v>
                </c:pt>
                <c:pt idx="484">
                  <c:v>7.4484873085022594</c:v>
                </c:pt>
                <c:pt idx="485">
                  <c:v>7.2218421292351875</c:v>
                </c:pt>
                <c:pt idx="486">
                  <c:v>7.4061180145857106</c:v>
                </c:pt>
                <c:pt idx="487">
                  <c:v>7.8926747257811289</c:v>
                </c:pt>
                <c:pt idx="488">
                  <c:v>7.7469918980179084</c:v>
                </c:pt>
                <c:pt idx="489">
                  <c:v>6.9938750194243946</c:v>
                </c:pt>
                <c:pt idx="490">
                  <c:v>6.4422443079824889</c:v>
                </c:pt>
                <c:pt idx="491">
                  <c:v>6.3788385283542581</c:v>
                </c:pt>
                <c:pt idx="492">
                  <c:v>6.3128545286971995</c:v>
                </c:pt>
                <c:pt idx="493">
                  <c:v>6.3196525310656355</c:v>
                </c:pt>
                <c:pt idx="494">
                  <c:v>6.4737579104173717</c:v>
                </c:pt>
                <c:pt idx="495">
                  <c:v>6.3796574340508307</c:v>
                </c:pt>
                <c:pt idx="496">
                  <c:v>6.4945146848425415</c:v>
                </c:pt>
                <c:pt idx="497">
                  <c:v>5.9978308979160975</c:v>
                </c:pt>
                <c:pt idx="498">
                  <c:v>5.9967408544590386</c:v>
                </c:pt>
                <c:pt idx="499">
                  <c:v>5.9682783555977093</c:v>
                </c:pt>
                <c:pt idx="500">
                  <c:v>5.9299529527759471</c:v>
                </c:pt>
                <c:pt idx="501">
                  <c:v>5.9935237727801276</c:v>
                </c:pt>
                <c:pt idx="502">
                  <c:v>5.7465204880479694</c:v>
                </c:pt>
                <c:pt idx="503">
                  <c:v>5.7954501369084941</c:v>
                </c:pt>
                <c:pt idx="504">
                  <c:v>5.8255720149393699</c:v>
                </c:pt>
                <c:pt idx="505">
                  <c:v>5.9343847959232887</c:v>
                </c:pt>
                <c:pt idx="506">
                  <c:v>5.6113269674902613</c:v>
                </c:pt>
                <c:pt idx="507">
                  <c:v>5.4299674206011117</c:v>
                </c:pt>
                <c:pt idx="508">
                  <c:v>5.3740753988029208</c:v>
                </c:pt>
                <c:pt idx="509">
                  <c:v>5.65175127665161</c:v>
                </c:pt>
                <c:pt idx="510">
                  <c:v>6.0265844947781879</c:v>
                </c:pt>
                <c:pt idx="511">
                  <c:v>6.0071473735538872</c:v>
                </c:pt>
                <c:pt idx="512">
                  <c:v>5.9950209247619508</c:v>
                </c:pt>
                <c:pt idx="513">
                  <c:v>6.0657719388493261</c:v>
                </c:pt>
                <c:pt idx="514">
                  <c:v>6.1572151579940106</c:v>
                </c:pt>
                <c:pt idx="515">
                  <c:v>6.6040998869366261</c:v>
                </c:pt>
                <c:pt idx="516">
                  <c:v>6.5362376152737367</c:v>
                </c:pt>
                <c:pt idx="517">
                  <c:v>6.5343642998376392</c:v>
                </c:pt>
                <c:pt idx="518">
                  <c:v>6.711935821799262</c:v>
                </c:pt>
                <c:pt idx="519">
                  <c:v>6.4552396300523531</c:v>
                </c:pt>
                <c:pt idx="520">
                  <c:v>6.2004468950439664</c:v>
                </c:pt>
                <c:pt idx="521">
                  <c:v>6.480473794481866</c:v>
                </c:pt>
                <c:pt idx="522">
                  <c:v>6.3103036367825709</c:v>
                </c:pt>
                <c:pt idx="523">
                  <c:v>6.5025989840371672</c:v>
                </c:pt>
                <c:pt idx="524">
                  <c:v>6.8036713445968031</c:v>
                </c:pt>
                <c:pt idx="525">
                  <c:v>6.8767122939004732</c:v>
                </c:pt>
                <c:pt idx="526">
                  <c:v>6.9734672143006415</c:v>
                </c:pt>
                <c:pt idx="527">
                  <c:v>6.8175851056419168</c:v>
                </c:pt>
                <c:pt idx="528">
                  <c:v>7.2018241516228079</c:v>
                </c:pt>
                <c:pt idx="529">
                  <c:v>7.1468474876889543</c:v>
                </c:pt>
                <c:pt idx="530">
                  <c:v>6.9080118261074599</c:v>
                </c:pt>
                <c:pt idx="531">
                  <c:v>8.1146520220125282</c:v>
                </c:pt>
                <c:pt idx="532">
                  <c:v>7.952415724918418</c:v>
                </c:pt>
                <c:pt idx="533">
                  <c:v>7.3560167398095624</c:v>
                </c:pt>
                <c:pt idx="534">
                  <c:v>6.8164389323816721</c:v>
                </c:pt>
                <c:pt idx="535">
                  <c:v>6.9640956805504208</c:v>
                </c:pt>
                <c:pt idx="536">
                  <c:v>7.2495224278082313</c:v>
                </c:pt>
                <c:pt idx="537">
                  <c:v>6.0595253213732656</c:v>
                </c:pt>
                <c:pt idx="538">
                  <c:v>5.7460977060459442</c:v>
                </c:pt>
                <c:pt idx="539">
                  <c:v>5.3728188413951274</c:v>
                </c:pt>
                <c:pt idx="540">
                  <c:v>5.5259165635164322</c:v>
                </c:pt>
                <c:pt idx="541">
                  <c:v>5.7452813456149094</c:v>
                </c:pt>
                <c:pt idx="542">
                  <c:v>5.3997498941705384</c:v>
                </c:pt>
                <c:pt idx="543">
                  <c:v>6.0836038012871008</c:v>
                </c:pt>
                <c:pt idx="544">
                  <c:v>6.1358432330766641</c:v>
                </c:pt>
                <c:pt idx="545">
                  <c:v>6.5101451605124829</c:v>
                </c:pt>
                <c:pt idx="546">
                  <c:v>6.5778888763858303</c:v>
                </c:pt>
                <c:pt idx="547">
                  <c:v>7.049658800456541</c:v>
                </c:pt>
                <c:pt idx="548">
                  <c:v>7.131740934835844</c:v>
                </c:pt>
                <c:pt idx="549">
                  <c:v>6.722482196537368</c:v>
                </c:pt>
                <c:pt idx="550">
                  <c:v>6.6336335407054943</c:v>
                </c:pt>
                <c:pt idx="551">
                  <c:v>7.4203476564802475</c:v>
                </c:pt>
                <c:pt idx="552">
                  <c:v>7.7239784107897824</c:v>
                </c:pt>
                <c:pt idx="553">
                  <c:v>7.9162809919569623</c:v>
                </c:pt>
                <c:pt idx="554">
                  <c:v>7.9693809914211169</c:v>
                </c:pt>
                <c:pt idx="555">
                  <c:v>8.0531254521195379</c:v>
                </c:pt>
                <c:pt idx="556">
                  <c:v>8.8919833512841535</c:v>
                </c:pt>
                <c:pt idx="557">
                  <c:v>9.5496029385760455</c:v>
                </c:pt>
                <c:pt idx="558">
                  <c:v>9.9063259225917779</c:v>
                </c:pt>
                <c:pt idx="559">
                  <c:v>10.364083356106764</c:v>
                </c:pt>
                <c:pt idx="560">
                  <c:v>10.510010663322992</c:v>
                </c:pt>
                <c:pt idx="561">
                  <c:v>9.731203749845946</c:v>
                </c:pt>
                <c:pt idx="562">
                  <c:v>9.9581649439237818</c:v>
                </c:pt>
                <c:pt idx="563">
                  <c:v>9.2683572588293934</c:v>
                </c:pt>
                <c:pt idx="564">
                  <c:v>8.0810191511137557</c:v>
                </c:pt>
                <c:pt idx="565">
                  <c:v>8.2143080092808436</c:v>
                </c:pt>
                <c:pt idx="566">
                  <c:v>8.6930933549814871</c:v>
                </c:pt>
                <c:pt idx="567">
                  <c:v>10.310023121727994</c:v>
                </c:pt>
                <c:pt idx="568">
                  <c:v>10.513024391681538</c:v>
                </c:pt>
                <c:pt idx="569">
                  <c:v>7.2423368752712713</c:v>
                </c:pt>
                <c:pt idx="570">
                  <c:v>6.1870692472979991</c:v>
                </c:pt>
                <c:pt idx="571">
                  <c:v>6.1506951254146101</c:v>
                </c:pt>
                <c:pt idx="572">
                  <c:v>5.5319338391713693</c:v>
                </c:pt>
                <c:pt idx="573">
                  <c:v>4.7159342999983931</c:v>
                </c:pt>
                <c:pt idx="574">
                  <c:v>4.5946565499059595</c:v>
                </c:pt>
                <c:pt idx="575">
                  <c:v>4.3859723718123895</c:v>
                </c:pt>
                <c:pt idx="576">
                  <c:v>3.9886958059382387</c:v>
                </c:pt>
                <c:pt idx="577">
                  <c:v>3.6737410312880119</c:v>
                </c:pt>
                <c:pt idx="578">
                  <c:v>3.8072469068325647</c:v>
                </c:pt>
                <c:pt idx="579">
                  <c:v>3.9273799572395389</c:v>
                </c:pt>
                <c:pt idx="580">
                  <c:v>3.6109043194495798</c:v>
                </c:pt>
              </c:numCache>
            </c:numRef>
          </c:val>
          <c:smooth val="0"/>
          <c:extLst>
            <c:ext xmlns:c16="http://schemas.microsoft.com/office/drawing/2014/chart" uri="{C3380CC4-5D6E-409C-BE32-E72D297353CC}">
              <c16:uniqueId val="{00000000-3727-754D-839E-A548E54B23F1}"/>
            </c:ext>
          </c:extLst>
        </c:ser>
        <c:ser>
          <c:idx val="1"/>
          <c:order val="1"/>
          <c:tx>
            <c:strRef>
              <c:f>PastPrices!$E$1</c:f>
              <c:strCache>
                <c:ptCount val="1"/>
                <c:pt idx="0">
                  <c:v>Forecasted Gold Price for 10K</c:v>
                </c:pt>
              </c:strCache>
            </c:strRef>
          </c:tx>
          <c:spPr>
            <a:ln w="28575" cap="rnd">
              <a:solidFill>
                <a:schemeClr val="accent4">
                  <a:lumMod val="40000"/>
                  <a:lumOff val="60000"/>
                </a:schemeClr>
              </a:solidFill>
              <a:round/>
            </a:ln>
            <a:effectLst/>
          </c:spPr>
          <c:marker>
            <c:symbol val="none"/>
          </c:marker>
          <c:cat>
            <c:numRef>
              <c:f>PastPrices!$A$2:$A$598</c:f>
              <c:numCache>
                <c:formatCode>[$-1009]mmmm\ d\,\ yyyy;@</c:formatCode>
                <c:ptCount val="597"/>
                <c:pt idx="0">
                  <c:v>46203</c:v>
                </c:pt>
                <c:pt idx="1">
                  <c:v>46173</c:v>
                </c:pt>
                <c:pt idx="2">
                  <c:v>46142</c:v>
                </c:pt>
                <c:pt idx="3">
                  <c:v>46112</c:v>
                </c:pt>
                <c:pt idx="4">
                  <c:v>46081</c:v>
                </c:pt>
                <c:pt idx="5">
                  <c:v>46053</c:v>
                </c:pt>
                <c:pt idx="6">
                  <c:v>46022</c:v>
                </c:pt>
                <c:pt idx="7">
                  <c:v>45991</c:v>
                </c:pt>
                <c:pt idx="8">
                  <c:v>45961</c:v>
                </c:pt>
                <c:pt idx="9">
                  <c:v>45930</c:v>
                </c:pt>
                <c:pt idx="10">
                  <c:v>45900</c:v>
                </c:pt>
                <c:pt idx="11">
                  <c:v>45869</c:v>
                </c:pt>
                <c:pt idx="12">
                  <c:v>45838</c:v>
                </c:pt>
                <c:pt idx="13">
                  <c:v>45807</c:v>
                </c:pt>
                <c:pt idx="14">
                  <c:v>45777</c:v>
                </c:pt>
                <c:pt idx="15">
                  <c:v>45747</c:v>
                </c:pt>
                <c:pt idx="16">
                  <c:v>45716</c:v>
                </c:pt>
                <c:pt idx="17">
                  <c:v>45688</c:v>
                </c:pt>
                <c:pt idx="18">
                  <c:v>45657</c:v>
                </c:pt>
                <c:pt idx="19">
                  <c:v>45625</c:v>
                </c:pt>
                <c:pt idx="20">
                  <c:v>45596</c:v>
                </c:pt>
                <c:pt idx="21">
                  <c:v>45565</c:v>
                </c:pt>
                <c:pt idx="22">
                  <c:v>45534</c:v>
                </c:pt>
                <c:pt idx="23">
                  <c:v>45504</c:v>
                </c:pt>
                <c:pt idx="24">
                  <c:v>45471</c:v>
                </c:pt>
                <c:pt idx="25">
                  <c:v>45443</c:v>
                </c:pt>
                <c:pt idx="26">
                  <c:v>45412</c:v>
                </c:pt>
                <c:pt idx="27">
                  <c:v>45380</c:v>
                </c:pt>
                <c:pt idx="28">
                  <c:v>45351</c:v>
                </c:pt>
                <c:pt idx="29">
                  <c:v>45322</c:v>
                </c:pt>
                <c:pt idx="30">
                  <c:v>45289</c:v>
                </c:pt>
                <c:pt idx="31">
                  <c:v>45260</c:v>
                </c:pt>
                <c:pt idx="32">
                  <c:v>45230</c:v>
                </c:pt>
                <c:pt idx="33">
                  <c:v>45198</c:v>
                </c:pt>
                <c:pt idx="34">
                  <c:v>45169</c:v>
                </c:pt>
                <c:pt idx="35">
                  <c:v>45138</c:v>
                </c:pt>
                <c:pt idx="36">
                  <c:v>45107</c:v>
                </c:pt>
                <c:pt idx="37">
                  <c:v>45077</c:v>
                </c:pt>
                <c:pt idx="38">
                  <c:v>45044</c:v>
                </c:pt>
                <c:pt idx="39">
                  <c:v>45016</c:v>
                </c:pt>
                <c:pt idx="40">
                  <c:v>44985</c:v>
                </c:pt>
                <c:pt idx="41">
                  <c:v>44957</c:v>
                </c:pt>
                <c:pt idx="42">
                  <c:v>44925</c:v>
                </c:pt>
                <c:pt idx="43">
                  <c:v>44895</c:v>
                </c:pt>
                <c:pt idx="44">
                  <c:v>44865</c:v>
                </c:pt>
                <c:pt idx="45">
                  <c:v>44834</c:v>
                </c:pt>
                <c:pt idx="46">
                  <c:v>44804</c:v>
                </c:pt>
                <c:pt idx="47">
                  <c:v>44771</c:v>
                </c:pt>
                <c:pt idx="48">
                  <c:v>44742</c:v>
                </c:pt>
                <c:pt idx="49">
                  <c:v>44712</c:v>
                </c:pt>
                <c:pt idx="50">
                  <c:v>44680</c:v>
                </c:pt>
                <c:pt idx="51">
                  <c:v>44651</c:v>
                </c:pt>
                <c:pt idx="52">
                  <c:v>44620</c:v>
                </c:pt>
                <c:pt idx="53">
                  <c:v>44592</c:v>
                </c:pt>
                <c:pt idx="54">
                  <c:v>44561</c:v>
                </c:pt>
                <c:pt idx="55">
                  <c:v>44530</c:v>
                </c:pt>
                <c:pt idx="56">
                  <c:v>44498</c:v>
                </c:pt>
                <c:pt idx="57">
                  <c:v>44469</c:v>
                </c:pt>
                <c:pt idx="58">
                  <c:v>44439</c:v>
                </c:pt>
                <c:pt idx="59">
                  <c:v>44407</c:v>
                </c:pt>
                <c:pt idx="60">
                  <c:v>44377</c:v>
                </c:pt>
                <c:pt idx="61">
                  <c:v>44347</c:v>
                </c:pt>
                <c:pt idx="62">
                  <c:v>44316</c:v>
                </c:pt>
                <c:pt idx="63">
                  <c:v>44286</c:v>
                </c:pt>
                <c:pt idx="64">
                  <c:v>44253</c:v>
                </c:pt>
                <c:pt idx="65">
                  <c:v>44225</c:v>
                </c:pt>
                <c:pt idx="66">
                  <c:v>44196</c:v>
                </c:pt>
                <c:pt idx="67">
                  <c:v>44165</c:v>
                </c:pt>
                <c:pt idx="68">
                  <c:v>44134</c:v>
                </c:pt>
                <c:pt idx="69">
                  <c:v>44104</c:v>
                </c:pt>
                <c:pt idx="70">
                  <c:v>44074</c:v>
                </c:pt>
                <c:pt idx="71">
                  <c:v>44043</c:v>
                </c:pt>
                <c:pt idx="72">
                  <c:v>44012</c:v>
                </c:pt>
                <c:pt idx="73">
                  <c:v>43980</c:v>
                </c:pt>
                <c:pt idx="74">
                  <c:v>43951</c:v>
                </c:pt>
                <c:pt idx="75">
                  <c:v>43921</c:v>
                </c:pt>
                <c:pt idx="76">
                  <c:v>43889</c:v>
                </c:pt>
                <c:pt idx="77">
                  <c:v>43861</c:v>
                </c:pt>
                <c:pt idx="78">
                  <c:v>43830</c:v>
                </c:pt>
                <c:pt idx="79">
                  <c:v>43798</c:v>
                </c:pt>
                <c:pt idx="80">
                  <c:v>43769</c:v>
                </c:pt>
                <c:pt idx="81">
                  <c:v>43738</c:v>
                </c:pt>
                <c:pt idx="82">
                  <c:v>43707</c:v>
                </c:pt>
                <c:pt idx="83">
                  <c:v>43677</c:v>
                </c:pt>
                <c:pt idx="84">
                  <c:v>43644</c:v>
                </c:pt>
                <c:pt idx="85">
                  <c:v>43616</c:v>
                </c:pt>
                <c:pt idx="86">
                  <c:v>43585</c:v>
                </c:pt>
                <c:pt idx="87">
                  <c:v>43553</c:v>
                </c:pt>
                <c:pt idx="88">
                  <c:v>43524</c:v>
                </c:pt>
                <c:pt idx="89">
                  <c:v>43496</c:v>
                </c:pt>
                <c:pt idx="90">
                  <c:v>43465</c:v>
                </c:pt>
                <c:pt idx="91">
                  <c:v>43434</c:v>
                </c:pt>
                <c:pt idx="92">
                  <c:v>43404</c:v>
                </c:pt>
                <c:pt idx="93">
                  <c:v>43371</c:v>
                </c:pt>
                <c:pt idx="94">
                  <c:v>43343</c:v>
                </c:pt>
                <c:pt idx="95">
                  <c:v>43312</c:v>
                </c:pt>
                <c:pt idx="96">
                  <c:v>43280</c:v>
                </c:pt>
                <c:pt idx="97">
                  <c:v>43251</c:v>
                </c:pt>
                <c:pt idx="98">
                  <c:v>43220</c:v>
                </c:pt>
                <c:pt idx="99">
                  <c:v>43189</c:v>
                </c:pt>
                <c:pt idx="100">
                  <c:v>43159</c:v>
                </c:pt>
                <c:pt idx="101">
                  <c:v>43131</c:v>
                </c:pt>
                <c:pt idx="102">
                  <c:v>43098</c:v>
                </c:pt>
                <c:pt idx="103">
                  <c:v>43069</c:v>
                </c:pt>
                <c:pt idx="104">
                  <c:v>43039</c:v>
                </c:pt>
                <c:pt idx="105">
                  <c:v>43007</c:v>
                </c:pt>
                <c:pt idx="106">
                  <c:v>42978</c:v>
                </c:pt>
                <c:pt idx="107">
                  <c:v>42947</c:v>
                </c:pt>
                <c:pt idx="108">
                  <c:v>42916</c:v>
                </c:pt>
                <c:pt idx="109">
                  <c:v>42886</c:v>
                </c:pt>
                <c:pt idx="110">
                  <c:v>42853</c:v>
                </c:pt>
                <c:pt idx="111">
                  <c:v>42825</c:v>
                </c:pt>
                <c:pt idx="112">
                  <c:v>42794</c:v>
                </c:pt>
                <c:pt idx="113">
                  <c:v>42766</c:v>
                </c:pt>
                <c:pt idx="114">
                  <c:v>42734</c:v>
                </c:pt>
                <c:pt idx="115">
                  <c:v>42704</c:v>
                </c:pt>
                <c:pt idx="116">
                  <c:v>42674</c:v>
                </c:pt>
                <c:pt idx="117">
                  <c:v>42643</c:v>
                </c:pt>
                <c:pt idx="118">
                  <c:v>42613</c:v>
                </c:pt>
                <c:pt idx="119">
                  <c:v>42580</c:v>
                </c:pt>
                <c:pt idx="120">
                  <c:v>42551</c:v>
                </c:pt>
                <c:pt idx="121">
                  <c:v>42521</c:v>
                </c:pt>
                <c:pt idx="122">
                  <c:v>42489</c:v>
                </c:pt>
                <c:pt idx="123">
                  <c:v>42460</c:v>
                </c:pt>
                <c:pt idx="124">
                  <c:v>42429</c:v>
                </c:pt>
                <c:pt idx="125">
                  <c:v>42398</c:v>
                </c:pt>
                <c:pt idx="126">
                  <c:v>42369</c:v>
                </c:pt>
                <c:pt idx="127">
                  <c:v>42338</c:v>
                </c:pt>
                <c:pt idx="128">
                  <c:v>42307</c:v>
                </c:pt>
                <c:pt idx="129">
                  <c:v>42277</c:v>
                </c:pt>
                <c:pt idx="130">
                  <c:v>42247</c:v>
                </c:pt>
                <c:pt idx="131">
                  <c:v>42216</c:v>
                </c:pt>
                <c:pt idx="132">
                  <c:v>42185</c:v>
                </c:pt>
                <c:pt idx="133">
                  <c:v>42153</c:v>
                </c:pt>
                <c:pt idx="134">
                  <c:v>42124</c:v>
                </c:pt>
                <c:pt idx="135">
                  <c:v>42094</c:v>
                </c:pt>
                <c:pt idx="136">
                  <c:v>42062</c:v>
                </c:pt>
                <c:pt idx="137">
                  <c:v>42034</c:v>
                </c:pt>
                <c:pt idx="138">
                  <c:v>42004</c:v>
                </c:pt>
                <c:pt idx="139">
                  <c:v>41971</c:v>
                </c:pt>
                <c:pt idx="140">
                  <c:v>41943</c:v>
                </c:pt>
                <c:pt idx="141">
                  <c:v>41912</c:v>
                </c:pt>
                <c:pt idx="142">
                  <c:v>41880</c:v>
                </c:pt>
                <c:pt idx="143">
                  <c:v>41851</c:v>
                </c:pt>
                <c:pt idx="144">
                  <c:v>41820</c:v>
                </c:pt>
                <c:pt idx="145">
                  <c:v>41789</c:v>
                </c:pt>
                <c:pt idx="146">
                  <c:v>41759</c:v>
                </c:pt>
                <c:pt idx="147">
                  <c:v>41729</c:v>
                </c:pt>
                <c:pt idx="148">
                  <c:v>41698</c:v>
                </c:pt>
                <c:pt idx="149">
                  <c:v>41670</c:v>
                </c:pt>
                <c:pt idx="150">
                  <c:v>41639</c:v>
                </c:pt>
                <c:pt idx="151">
                  <c:v>41607</c:v>
                </c:pt>
                <c:pt idx="152">
                  <c:v>41578</c:v>
                </c:pt>
                <c:pt idx="153">
                  <c:v>41547</c:v>
                </c:pt>
                <c:pt idx="154">
                  <c:v>41516</c:v>
                </c:pt>
                <c:pt idx="155">
                  <c:v>41486</c:v>
                </c:pt>
                <c:pt idx="156">
                  <c:v>41453</c:v>
                </c:pt>
                <c:pt idx="157">
                  <c:v>41425</c:v>
                </c:pt>
                <c:pt idx="158">
                  <c:v>41394</c:v>
                </c:pt>
                <c:pt idx="159">
                  <c:v>41362</c:v>
                </c:pt>
                <c:pt idx="160">
                  <c:v>41333</c:v>
                </c:pt>
                <c:pt idx="161">
                  <c:v>41305</c:v>
                </c:pt>
                <c:pt idx="162">
                  <c:v>41274</c:v>
                </c:pt>
                <c:pt idx="163">
                  <c:v>41243</c:v>
                </c:pt>
                <c:pt idx="164">
                  <c:v>41213</c:v>
                </c:pt>
                <c:pt idx="165">
                  <c:v>41180</c:v>
                </c:pt>
                <c:pt idx="166">
                  <c:v>41152</c:v>
                </c:pt>
                <c:pt idx="167">
                  <c:v>41121</c:v>
                </c:pt>
                <c:pt idx="168">
                  <c:v>41089</c:v>
                </c:pt>
                <c:pt idx="169">
                  <c:v>41060</c:v>
                </c:pt>
                <c:pt idx="170">
                  <c:v>41029</c:v>
                </c:pt>
                <c:pt idx="171">
                  <c:v>40998</c:v>
                </c:pt>
                <c:pt idx="172">
                  <c:v>40968</c:v>
                </c:pt>
                <c:pt idx="173">
                  <c:v>40939</c:v>
                </c:pt>
                <c:pt idx="174">
                  <c:v>40907</c:v>
                </c:pt>
                <c:pt idx="175">
                  <c:v>40877</c:v>
                </c:pt>
                <c:pt idx="176">
                  <c:v>40847</c:v>
                </c:pt>
                <c:pt idx="177">
                  <c:v>40816</c:v>
                </c:pt>
                <c:pt idx="178">
                  <c:v>40786</c:v>
                </c:pt>
                <c:pt idx="179">
                  <c:v>40753</c:v>
                </c:pt>
                <c:pt idx="180">
                  <c:v>40724</c:v>
                </c:pt>
                <c:pt idx="181">
                  <c:v>40694</c:v>
                </c:pt>
                <c:pt idx="182">
                  <c:v>40662</c:v>
                </c:pt>
                <c:pt idx="183">
                  <c:v>40633</c:v>
                </c:pt>
                <c:pt idx="184">
                  <c:v>40602</c:v>
                </c:pt>
                <c:pt idx="185">
                  <c:v>40574</c:v>
                </c:pt>
                <c:pt idx="186">
                  <c:v>40543</c:v>
                </c:pt>
                <c:pt idx="187">
                  <c:v>40512</c:v>
                </c:pt>
                <c:pt idx="188">
                  <c:v>40480</c:v>
                </c:pt>
                <c:pt idx="189">
                  <c:v>40451</c:v>
                </c:pt>
                <c:pt idx="190">
                  <c:v>40421</c:v>
                </c:pt>
                <c:pt idx="191">
                  <c:v>40389</c:v>
                </c:pt>
                <c:pt idx="192">
                  <c:v>40359</c:v>
                </c:pt>
                <c:pt idx="193">
                  <c:v>40329</c:v>
                </c:pt>
                <c:pt idx="194">
                  <c:v>40298</c:v>
                </c:pt>
                <c:pt idx="195">
                  <c:v>40268</c:v>
                </c:pt>
                <c:pt idx="196">
                  <c:v>40235</c:v>
                </c:pt>
                <c:pt idx="197">
                  <c:v>40207</c:v>
                </c:pt>
                <c:pt idx="198">
                  <c:v>40178</c:v>
                </c:pt>
                <c:pt idx="199">
                  <c:v>40147</c:v>
                </c:pt>
                <c:pt idx="200">
                  <c:v>40116</c:v>
                </c:pt>
                <c:pt idx="201">
                  <c:v>40086</c:v>
                </c:pt>
                <c:pt idx="202">
                  <c:v>40056</c:v>
                </c:pt>
                <c:pt idx="203">
                  <c:v>40025</c:v>
                </c:pt>
                <c:pt idx="204">
                  <c:v>39994</c:v>
                </c:pt>
                <c:pt idx="205">
                  <c:v>39962</c:v>
                </c:pt>
                <c:pt idx="206">
                  <c:v>39933</c:v>
                </c:pt>
                <c:pt idx="207">
                  <c:v>39903</c:v>
                </c:pt>
                <c:pt idx="208">
                  <c:v>39871</c:v>
                </c:pt>
                <c:pt idx="209">
                  <c:v>39843</c:v>
                </c:pt>
                <c:pt idx="210">
                  <c:v>39813</c:v>
                </c:pt>
                <c:pt idx="211">
                  <c:v>39780</c:v>
                </c:pt>
                <c:pt idx="212">
                  <c:v>39752</c:v>
                </c:pt>
                <c:pt idx="213">
                  <c:v>39721</c:v>
                </c:pt>
                <c:pt idx="214">
                  <c:v>39689</c:v>
                </c:pt>
                <c:pt idx="215">
                  <c:v>39660</c:v>
                </c:pt>
                <c:pt idx="216">
                  <c:v>39629</c:v>
                </c:pt>
                <c:pt idx="217">
                  <c:v>39598</c:v>
                </c:pt>
                <c:pt idx="218">
                  <c:v>39568</c:v>
                </c:pt>
                <c:pt idx="219">
                  <c:v>39538</c:v>
                </c:pt>
                <c:pt idx="220">
                  <c:v>39507</c:v>
                </c:pt>
                <c:pt idx="221">
                  <c:v>39478</c:v>
                </c:pt>
                <c:pt idx="222">
                  <c:v>39447</c:v>
                </c:pt>
                <c:pt idx="223">
                  <c:v>39416</c:v>
                </c:pt>
                <c:pt idx="224">
                  <c:v>39386</c:v>
                </c:pt>
                <c:pt idx="225">
                  <c:v>39353</c:v>
                </c:pt>
                <c:pt idx="226">
                  <c:v>39325</c:v>
                </c:pt>
                <c:pt idx="227">
                  <c:v>39294</c:v>
                </c:pt>
                <c:pt idx="228">
                  <c:v>39262</c:v>
                </c:pt>
                <c:pt idx="229">
                  <c:v>39233</c:v>
                </c:pt>
                <c:pt idx="230">
                  <c:v>39202</c:v>
                </c:pt>
                <c:pt idx="231">
                  <c:v>39171</c:v>
                </c:pt>
                <c:pt idx="232">
                  <c:v>39141</c:v>
                </c:pt>
                <c:pt idx="233">
                  <c:v>39113</c:v>
                </c:pt>
                <c:pt idx="234">
                  <c:v>39080</c:v>
                </c:pt>
                <c:pt idx="235">
                  <c:v>39051</c:v>
                </c:pt>
                <c:pt idx="236">
                  <c:v>39021</c:v>
                </c:pt>
                <c:pt idx="237">
                  <c:v>38989</c:v>
                </c:pt>
                <c:pt idx="238">
                  <c:v>38960</c:v>
                </c:pt>
                <c:pt idx="239">
                  <c:v>38929</c:v>
                </c:pt>
                <c:pt idx="240">
                  <c:v>38898</c:v>
                </c:pt>
                <c:pt idx="241">
                  <c:v>38868</c:v>
                </c:pt>
                <c:pt idx="242">
                  <c:v>38835</c:v>
                </c:pt>
                <c:pt idx="243">
                  <c:v>38807</c:v>
                </c:pt>
                <c:pt idx="244">
                  <c:v>38776</c:v>
                </c:pt>
                <c:pt idx="245">
                  <c:v>38748</c:v>
                </c:pt>
                <c:pt idx="246">
                  <c:v>38716</c:v>
                </c:pt>
                <c:pt idx="247">
                  <c:v>38686</c:v>
                </c:pt>
                <c:pt idx="248">
                  <c:v>38656</c:v>
                </c:pt>
                <c:pt idx="249">
                  <c:v>38625</c:v>
                </c:pt>
                <c:pt idx="250">
                  <c:v>38595</c:v>
                </c:pt>
                <c:pt idx="251">
                  <c:v>38562</c:v>
                </c:pt>
                <c:pt idx="252">
                  <c:v>38533</c:v>
                </c:pt>
                <c:pt idx="253">
                  <c:v>38503</c:v>
                </c:pt>
                <c:pt idx="254">
                  <c:v>38471</c:v>
                </c:pt>
                <c:pt idx="255">
                  <c:v>38442</c:v>
                </c:pt>
                <c:pt idx="256">
                  <c:v>38411</c:v>
                </c:pt>
                <c:pt idx="257">
                  <c:v>38383</c:v>
                </c:pt>
                <c:pt idx="258">
                  <c:v>38352</c:v>
                </c:pt>
                <c:pt idx="259">
                  <c:v>38321</c:v>
                </c:pt>
                <c:pt idx="260">
                  <c:v>38289</c:v>
                </c:pt>
                <c:pt idx="261">
                  <c:v>38260</c:v>
                </c:pt>
                <c:pt idx="262">
                  <c:v>38230</c:v>
                </c:pt>
                <c:pt idx="263">
                  <c:v>38198</c:v>
                </c:pt>
                <c:pt idx="264">
                  <c:v>38168</c:v>
                </c:pt>
                <c:pt idx="265">
                  <c:v>38138</c:v>
                </c:pt>
                <c:pt idx="266">
                  <c:v>38107</c:v>
                </c:pt>
                <c:pt idx="267">
                  <c:v>38077</c:v>
                </c:pt>
                <c:pt idx="268">
                  <c:v>38044</c:v>
                </c:pt>
                <c:pt idx="269">
                  <c:v>38016</c:v>
                </c:pt>
                <c:pt idx="270">
                  <c:v>37986</c:v>
                </c:pt>
                <c:pt idx="271">
                  <c:v>37953</c:v>
                </c:pt>
                <c:pt idx="272">
                  <c:v>37925</c:v>
                </c:pt>
                <c:pt idx="273">
                  <c:v>37894</c:v>
                </c:pt>
                <c:pt idx="274">
                  <c:v>37862</c:v>
                </c:pt>
                <c:pt idx="275">
                  <c:v>37833</c:v>
                </c:pt>
                <c:pt idx="276">
                  <c:v>37802</c:v>
                </c:pt>
                <c:pt idx="277">
                  <c:v>37771</c:v>
                </c:pt>
                <c:pt idx="278">
                  <c:v>37741</c:v>
                </c:pt>
                <c:pt idx="279">
                  <c:v>37711</c:v>
                </c:pt>
                <c:pt idx="280">
                  <c:v>37680</c:v>
                </c:pt>
                <c:pt idx="281">
                  <c:v>37652</c:v>
                </c:pt>
                <c:pt idx="282">
                  <c:v>37621</c:v>
                </c:pt>
                <c:pt idx="283">
                  <c:v>37589</c:v>
                </c:pt>
                <c:pt idx="284">
                  <c:v>37560</c:v>
                </c:pt>
                <c:pt idx="285">
                  <c:v>37529</c:v>
                </c:pt>
                <c:pt idx="286">
                  <c:v>37498</c:v>
                </c:pt>
                <c:pt idx="287">
                  <c:v>37468</c:v>
                </c:pt>
                <c:pt idx="288">
                  <c:v>37435</c:v>
                </c:pt>
                <c:pt idx="289">
                  <c:v>37407</c:v>
                </c:pt>
                <c:pt idx="290">
                  <c:v>37376</c:v>
                </c:pt>
                <c:pt idx="291">
                  <c:v>37344</c:v>
                </c:pt>
                <c:pt idx="292">
                  <c:v>37315</c:v>
                </c:pt>
                <c:pt idx="293">
                  <c:v>37287</c:v>
                </c:pt>
                <c:pt idx="294">
                  <c:v>37256</c:v>
                </c:pt>
                <c:pt idx="295">
                  <c:v>37225</c:v>
                </c:pt>
                <c:pt idx="296">
                  <c:v>37195</c:v>
                </c:pt>
                <c:pt idx="297">
                  <c:v>37162</c:v>
                </c:pt>
                <c:pt idx="298">
                  <c:v>37134</c:v>
                </c:pt>
                <c:pt idx="299">
                  <c:v>37103</c:v>
                </c:pt>
                <c:pt idx="300">
                  <c:v>37071</c:v>
                </c:pt>
                <c:pt idx="301">
                  <c:v>37042</c:v>
                </c:pt>
                <c:pt idx="302">
                  <c:v>37011</c:v>
                </c:pt>
                <c:pt idx="303">
                  <c:v>36980</c:v>
                </c:pt>
                <c:pt idx="304">
                  <c:v>36950</c:v>
                </c:pt>
                <c:pt idx="305">
                  <c:v>36922</c:v>
                </c:pt>
                <c:pt idx="306">
                  <c:v>36889</c:v>
                </c:pt>
                <c:pt idx="307">
                  <c:v>36860</c:v>
                </c:pt>
                <c:pt idx="308">
                  <c:v>36830</c:v>
                </c:pt>
                <c:pt idx="309">
                  <c:v>36798</c:v>
                </c:pt>
                <c:pt idx="310">
                  <c:v>36769</c:v>
                </c:pt>
                <c:pt idx="311">
                  <c:v>36738</c:v>
                </c:pt>
                <c:pt idx="312">
                  <c:v>36707</c:v>
                </c:pt>
                <c:pt idx="313">
                  <c:v>36677</c:v>
                </c:pt>
                <c:pt idx="314">
                  <c:v>36644</c:v>
                </c:pt>
                <c:pt idx="315">
                  <c:v>36616</c:v>
                </c:pt>
                <c:pt idx="316">
                  <c:v>36585</c:v>
                </c:pt>
                <c:pt idx="317">
                  <c:v>36556</c:v>
                </c:pt>
                <c:pt idx="318">
                  <c:v>36525</c:v>
                </c:pt>
                <c:pt idx="319">
                  <c:v>36494</c:v>
                </c:pt>
                <c:pt idx="320">
                  <c:v>36462</c:v>
                </c:pt>
                <c:pt idx="321">
                  <c:v>36433</c:v>
                </c:pt>
                <c:pt idx="322">
                  <c:v>36403</c:v>
                </c:pt>
                <c:pt idx="323">
                  <c:v>36371</c:v>
                </c:pt>
                <c:pt idx="324">
                  <c:v>36341</c:v>
                </c:pt>
                <c:pt idx="325">
                  <c:v>36311</c:v>
                </c:pt>
                <c:pt idx="326">
                  <c:v>36280</c:v>
                </c:pt>
                <c:pt idx="327">
                  <c:v>36250</c:v>
                </c:pt>
                <c:pt idx="328">
                  <c:v>36217</c:v>
                </c:pt>
                <c:pt idx="329">
                  <c:v>36189</c:v>
                </c:pt>
                <c:pt idx="330">
                  <c:v>36160</c:v>
                </c:pt>
                <c:pt idx="331">
                  <c:v>36129</c:v>
                </c:pt>
                <c:pt idx="332">
                  <c:v>36098</c:v>
                </c:pt>
                <c:pt idx="333">
                  <c:v>36068</c:v>
                </c:pt>
                <c:pt idx="334">
                  <c:v>36038</c:v>
                </c:pt>
                <c:pt idx="335">
                  <c:v>36007</c:v>
                </c:pt>
                <c:pt idx="336">
                  <c:v>35976</c:v>
                </c:pt>
                <c:pt idx="337">
                  <c:v>35944</c:v>
                </c:pt>
                <c:pt idx="338">
                  <c:v>35915</c:v>
                </c:pt>
                <c:pt idx="339">
                  <c:v>35885</c:v>
                </c:pt>
                <c:pt idx="340">
                  <c:v>35853</c:v>
                </c:pt>
                <c:pt idx="341">
                  <c:v>35825</c:v>
                </c:pt>
                <c:pt idx="342">
                  <c:v>35795</c:v>
                </c:pt>
                <c:pt idx="343">
                  <c:v>35762</c:v>
                </c:pt>
                <c:pt idx="344">
                  <c:v>35734</c:v>
                </c:pt>
                <c:pt idx="345">
                  <c:v>35703</c:v>
                </c:pt>
                <c:pt idx="346">
                  <c:v>35671</c:v>
                </c:pt>
                <c:pt idx="347">
                  <c:v>35642</c:v>
                </c:pt>
                <c:pt idx="348">
                  <c:v>35611</c:v>
                </c:pt>
                <c:pt idx="349">
                  <c:v>35580</c:v>
                </c:pt>
                <c:pt idx="350">
                  <c:v>35550</c:v>
                </c:pt>
                <c:pt idx="351">
                  <c:v>35520</c:v>
                </c:pt>
                <c:pt idx="352">
                  <c:v>35489</c:v>
                </c:pt>
                <c:pt idx="353">
                  <c:v>35461</c:v>
                </c:pt>
                <c:pt idx="354">
                  <c:v>35430</c:v>
                </c:pt>
                <c:pt idx="355">
                  <c:v>35398</c:v>
                </c:pt>
                <c:pt idx="356">
                  <c:v>35369</c:v>
                </c:pt>
                <c:pt idx="357">
                  <c:v>35338</c:v>
                </c:pt>
                <c:pt idx="358">
                  <c:v>35307</c:v>
                </c:pt>
                <c:pt idx="359">
                  <c:v>35277</c:v>
                </c:pt>
                <c:pt idx="360">
                  <c:v>35244</c:v>
                </c:pt>
                <c:pt idx="361">
                  <c:v>35216</c:v>
                </c:pt>
                <c:pt idx="362">
                  <c:v>35185</c:v>
                </c:pt>
                <c:pt idx="363">
                  <c:v>35153</c:v>
                </c:pt>
                <c:pt idx="364">
                  <c:v>35124</c:v>
                </c:pt>
                <c:pt idx="365">
                  <c:v>35095</c:v>
                </c:pt>
                <c:pt idx="366">
                  <c:v>35062</c:v>
                </c:pt>
                <c:pt idx="367">
                  <c:v>35033</c:v>
                </c:pt>
                <c:pt idx="368">
                  <c:v>35003</c:v>
                </c:pt>
                <c:pt idx="369">
                  <c:v>34971</c:v>
                </c:pt>
                <c:pt idx="370">
                  <c:v>34942</c:v>
                </c:pt>
                <c:pt idx="371">
                  <c:v>34911</c:v>
                </c:pt>
                <c:pt idx="372">
                  <c:v>34880</c:v>
                </c:pt>
                <c:pt idx="373">
                  <c:v>34850</c:v>
                </c:pt>
                <c:pt idx="374">
                  <c:v>34817</c:v>
                </c:pt>
                <c:pt idx="375">
                  <c:v>34789</c:v>
                </c:pt>
                <c:pt idx="376">
                  <c:v>34758</c:v>
                </c:pt>
                <c:pt idx="377">
                  <c:v>34730</c:v>
                </c:pt>
                <c:pt idx="378">
                  <c:v>34698</c:v>
                </c:pt>
                <c:pt idx="379">
                  <c:v>34668</c:v>
                </c:pt>
                <c:pt idx="380">
                  <c:v>34638</c:v>
                </c:pt>
                <c:pt idx="381">
                  <c:v>34607</c:v>
                </c:pt>
                <c:pt idx="382">
                  <c:v>34577</c:v>
                </c:pt>
                <c:pt idx="383">
                  <c:v>34544</c:v>
                </c:pt>
                <c:pt idx="384">
                  <c:v>34515</c:v>
                </c:pt>
                <c:pt idx="385">
                  <c:v>34485</c:v>
                </c:pt>
                <c:pt idx="386">
                  <c:v>34453</c:v>
                </c:pt>
                <c:pt idx="387">
                  <c:v>34424</c:v>
                </c:pt>
                <c:pt idx="388">
                  <c:v>34393</c:v>
                </c:pt>
                <c:pt idx="389">
                  <c:v>34365</c:v>
                </c:pt>
                <c:pt idx="390">
                  <c:v>34334</c:v>
                </c:pt>
                <c:pt idx="391">
                  <c:v>34303</c:v>
                </c:pt>
                <c:pt idx="392">
                  <c:v>34271</c:v>
                </c:pt>
                <c:pt idx="393">
                  <c:v>34242</c:v>
                </c:pt>
                <c:pt idx="394">
                  <c:v>34212</c:v>
                </c:pt>
                <c:pt idx="395">
                  <c:v>34180</c:v>
                </c:pt>
                <c:pt idx="396">
                  <c:v>34150</c:v>
                </c:pt>
                <c:pt idx="397">
                  <c:v>34120</c:v>
                </c:pt>
                <c:pt idx="398">
                  <c:v>34089</c:v>
                </c:pt>
                <c:pt idx="399">
                  <c:v>34059</c:v>
                </c:pt>
                <c:pt idx="400">
                  <c:v>34026</c:v>
                </c:pt>
                <c:pt idx="401">
                  <c:v>33998</c:v>
                </c:pt>
                <c:pt idx="402">
                  <c:v>33969</c:v>
                </c:pt>
                <c:pt idx="403">
                  <c:v>33938</c:v>
                </c:pt>
                <c:pt idx="404">
                  <c:v>33907</c:v>
                </c:pt>
                <c:pt idx="405">
                  <c:v>33877</c:v>
                </c:pt>
                <c:pt idx="406">
                  <c:v>33847</c:v>
                </c:pt>
                <c:pt idx="407">
                  <c:v>33816</c:v>
                </c:pt>
                <c:pt idx="408">
                  <c:v>33785</c:v>
                </c:pt>
                <c:pt idx="409">
                  <c:v>33753</c:v>
                </c:pt>
                <c:pt idx="410">
                  <c:v>33724</c:v>
                </c:pt>
                <c:pt idx="411">
                  <c:v>33694</c:v>
                </c:pt>
                <c:pt idx="412">
                  <c:v>33662</c:v>
                </c:pt>
                <c:pt idx="413">
                  <c:v>33634</c:v>
                </c:pt>
                <c:pt idx="414">
                  <c:v>33603</c:v>
                </c:pt>
                <c:pt idx="415">
                  <c:v>33571</c:v>
                </c:pt>
                <c:pt idx="416">
                  <c:v>33542</c:v>
                </c:pt>
                <c:pt idx="417">
                  <c:v>33511</c:v>
                </c:pt>
                <c:pt idx="418">
                  <c:v>33480</c:v>
                </c:pt>
                <c:pt idx="419">
                  <c:v>33450</c:v>
                </c:pt>
                <c:pt idx="420">
                  <c:v>33417</c:v>
                </c:pt>
                <c:pt idx="421">
                  <c:v>33389</c:v>
                </c:pt>
                <c:pt idx="422">
                  <c:v>33358</c:v>
                </c:pt>
                <c:pt idx="423">
                  <c:v>33326</c:v>
                </c:pt>
                <c:pt idx="424">
                  <c:v>33297</c:v>
                </c:pt>
                <c:pt idx="425">
                  <c:v>33269</c:v>
                </c:pt>
                <c:pt idx="426">
                  <c:v>33238</c:v>
                </c:pt>
                <c:pt idx="427">
                  <c:v>33207</c:v>
                </c:pt>
                <c:pt idx="428">
                  <c:v>33177</c:v>
                </c:pt>
                <c:pt idx="429">
                  <c:v>33144</c:v>
                </c:pt>
                <c:pt idx="430">
                  <c:v>33116</c:v>
                </c:pt>
                <c:pt idx="431">
                  <c:v>33085</c:v>
                </c:pt>
                <c:pt idx="432">
                  <c:v>33053</c:v>
                </c:pt>
                <c:pt idx="433">
                  <c:v>33024</c:v>
                </c:pt>
                <c:pt idx="434">
                  <c:v>32993</c:v>
                </c:pt>
                <c:pt idx="435">
                  <c:v>32962</c:v>
                </c:pt>
                <c:pt idx="436">
                  <c:v>32932</c:v>
                </c:pt>
                <c:pt idx="437">
                  <c:v>32904</c:v>
                </c:pt>
                <c:pt idx="438">
                  <c:v>32871</c:v>
                </c:pt>
                <c:pt idx="439">
                  <c:v>32842</c:v>
                </c:pt>
                <c:pt idx="440">
                  <c:v>32812</c:v>
                </c:pt>
                <c:pt idx="441">
                  <c:v>32780</c:v>
                </c:pt>
                <c:pt idx="442">
                  <c:v>32751</c:v>
                </c:pt>
                <c:pt idx="443">
                  <c:v>32720</c:v>
                </c:pt>
                <c:pt idx="444">
                  <c:v>32689</c:v>
                </c:pt>
                <c:pt idx="445">
                  <c:v>32659</c:v>
                </c:pt>
                <c:pt idx="446">
                  <c:v>32626</c:v>
                </c:pt>
                <c:pt idx="447">
                  <c:v>32598</c:v>
                </c:pt>
                <c:pt idx="448">
                  <c:v>32567</c:v>
                </c:pt>
                <c:pt idx="449">
                  <c:v>32539</c:v>
                </c:pt>
                <c:pt idx="450">
                  <c:v>32507</c:v>
                </c:pt>
                <c:pt idx="451">
                  <c:v>32477</c:v>
                </c:pt>
                <c:pt idx="452">
                  <c:v>32447</c:v>
                </c:pt>
                <c:pt idx="453">
                  <c:v>32416</c:v>
                </c:pt>
                <c:pt idx="454">
                  <c:v>32386</c:v>
                </c:pt>
                <c:pt idx="455">
                  <c:v>32353</c:v>
                </c:pt>
                <c:pt idx="456">
                  <c:v>32324</c:v>
                </c:pt>
                <c:pt idx="457">
                  <c:v>32294</c:v>
                </c:pt>
                <c:pt idx="458">
                  <c:v>32262</c:v>
                </c:pt>
                <c:pt idx="459">
                  <c:v>32233</c:v>
                </c:pt>
                <c:pt idx="460">
                  <c:v>32202</c:v>
                </c:pt>
                <c:pt idx="461">
                  <c:v>32171</c:v>
                </c:pt>
                <c:pt idx="462">
                  <c:v>32142</c:v>
                </c:pt>
                <c:pt idx="463">
                  <c:v>32111</c:v>
                </c:pt>
                <c:pt idx="464">
                  <c:v>32080</c:v>
                </c:pt>
                <c:pt idx="465">
                  <c:v>32050</c:v>
                </c:pt>
                <c:pt idx="466">
                  <c:v>32020</c:v>
                </c:pt>
                <c:pt idx="467">
                  <c:v>31989</c:v>
                </c:pt>
                <c:pt idx="468">
                  <c:v>31958</c:v>
                </c:pt>
                <c:pt idx="469">
                  <c:v>31926</c:v>
                </c:pt>
                <c:pt idx="470">
                  <c:v>31897</c:v>
                </c:pt>
                <c:pt idx="471">
                  <c:v>31867</c:v>
                </c:pt>
                <c:pt idx="472">
                  <c:v>31835</c:v>
                </c:pt>
                <c:pt idx="473">
                  <c:v>31807</c:v>
                </c:pt>
                <c:pt idx="474">
                  <c:v>31777</c:v>
                </c:pt>
                <c:pt idx="475">
                  <c:v>31744</c:v>
                </c:pt>
                <c:pt idx="476">
                  <c:v>31716</c:v>
                </c:pt>
                <c:pt idx="477">
                  <c:v>31685</c:v>
                </c:pt>
                <c:pt idx="478">
                  <c:v>31653</c:v>
                </c:pt>
                <c:pt idx="479">
                  <c:v>31624</c:v>
                </c:pt>
                <c:pt idx="480">
                  <c:v>31593</c:v>
                </c:pt>
                <c:pt idx="481">
                  <c:v>31562</c:v>
                </c:pt>
                <c:pt idx="482">
                  <c:v>31532</c:v>
                </c:pt>
                <c:pt idx="483">
                  <c:v>31502</c:v>
                </c:pt>
                <c:pt idx="484">
                  <c:v>31471</c:v>
                </c:pt>
                <c:pt idx="485">
                  <c:v>31443</c:v>
                </c:pt>
                <c:pt idx="486">
                  <c:v>31412</c:v>
                </c:pt>
                <c:pt idx="487">
                  <c:v>31380</c:v>
                </c:pt>
                <c:pt idx="488">
                  <c:v>31351</c:v>
                </c:pt>
                <c:pt idx="489">
                  <c:v>31320</c:v>
                </c:pt>
                <c:pt idx="490">
                  <c:v>31289</c:v>
                </c:pt>
                <c:pt idx="491">
                  <c:v>31259</c:v>
                </c:pt>
                <c:pt idx="492">
                  <c:v>31226</c:v>
                </c:pt>
                <c:pt idx="493">
                  <c:v>31198</c:v>
                </c:pt>
                <c:pt idx="494">
                  <c:v>31167</c:v>
                </c:pt>
                <c:pt idx="495">
                  <c:v>31135</c:v>
                </c:pt>
                <c:pt idx="496">
                  <c:v>31106</c:v>
                </c:pt>
                <c:pt idx="497">
                  <c:v>31078</c:v>
                </c:pt>
                <c:pt idx="498">
                  <c:v>31047</c:v>
                </c:pt>
                <c:pt idx="499">
                  <c:v>31016</c:v>
                </c:pt>
                <c:pt idx="500">
                  <c:v>30986</c:v>
                </c:pt>
                <c:pt idx="501">
                  <c:v>30953</c:v>
                </c:pt>
                <c:pt idx="502">
                  <c:v>30925</c:v>
                </c:pt>
                <c:pt idx="503">
                  <c:v>30894</c:v>
                </c:pt>
                <c:pt idx="504">
                  <c:v>30862</c:v>
                </c:pt>
                <c:pt idx="505">
                  <c:v>30833</c:v>
                </c:pt>
                <c:pt idx="506">
                  <c:v>30802</c:v>
                </c:pt>
                <c:pt idx="507">
                  <c:v>30771</c:v>
                </c:pt>
                <c:pt idx="508">
                  <c:v>30741</c:v>
                </c:pt>
                <c:pt idx="509">
                  <c:v>30712</c:v>
                </c:pt>
                <c:pt idx="510">
                  <c:v>30680</c:v>
                </c:pt>
                <c:pt idx="511">
                  <c:v>30650</c:v>
                </c:pt>
                <c:pt idx="512">
                  <c:v>30620</c:v>
                </c:pt>
                <c:pt idx="513">
                  <c:v>30589</c:v>
                </c:pt>
                <c:pt idx="514">
                  <c:v>30559</c:v>
                </c:pt>
                <c:pt idx="515">
                  <c:v>30526</c:v>
                </c:pt>
                <c:pt idx="516">
                  <c:v>30497</c:v>
                </c:pt>
                <c:pt idx="517">
                  <c:v>30467</c:v>
                </c:pt>
                <c:pt idx="518">
                  <c:v>30435</c:v>
                </c:pt>
                <c:pt idx="519">
                  <c:v>30406</c:v>
                </c:pt>
                <c:pt idx="520">
                  <c:v>30375</c:v>
                </c:pt>
                <c:pt idx="521">
                  <c:v>30347</c:v>
                </c:pt>
                <c:pt idx="522">
                  <c:v>30316</c:v>
                </c:pt>
                <c:pt idx="523">
                  <c:v>30285</c:v>
                </c:pt>
                <c:pt idx="524">
                  <c:v>30253</c:v>
                </c:pt>
                <c:pt idx="525">
                  <c:v>30224</c:v>
                </c:pt>
                <c:pt idx="526">
                  <c:v>30194</c:v>
                </c:pt>
                <c:pt idx="527">
                  <c:v>30162</c:v>
                </c:pt>
                <c:pt idx="528">
                  <c:v>30132</c:v>
                </c:pt>
                <c:pt idx="529">
                  <c:v>30102</c:v>
                </c:pt>
                <c:pt idx="530">
                  <c:v>30071</c:v>
                </c:pt>
                <c:pt idx="531">
                  <c:v>30041</c:v>
                </c:pt>
                <c:pt idx="532">
                  <c:v>30008</c:v>
                </c:pt>
                <c:pt idx="533">
                  <c:v>29980</c:v>
                </c:pt>
                <c:pt idx="534">
                  <c:v>29951</c:v>
                </c:pt>
                <c:pt idx="535">
                  <c:v>29920</c:v>
                </c:pt>
                <c:pt idx="536">
                  <c:v>29889</c:v>
                </c:pt>
                <c:pt idx="537">
                  <c:v>29859</c:v>
                </c:pt>
                <c:pt idx="538">
                  <c:v>29829</c:v>
                </c:pt>
                <c:pt idx="539">
                  <c:v>29798</c:v>
                </c:pt>
                <c:pt idx="540">
                  <c:v>29767</c:v>
                </c:pt>
                <c:pt idx="541">
                  <c:v>29735</c:v>
                </c:pt>
                <c:pt idx="542">
                  <c:v>29706</c:v>
                </c:pt>
                <c:pt idx="543">
                  <c:v>29676</c:v>
                </c:pt>
                <c:pt idx="544">
                  <c:v>29644</c:v>
                </c:pt>
                <c:pt idx="545">
                  <c:v>29616</c:v>
                </c:pt>
                <c:pt idx="546">
                  <c:v>29586</c:v>
                </c:pt>
                <c:pt idx="547">
                  <c:v>29553</c:v>
                </c:pt>
                <c:pt idx="548">
                  <c:v>29525</c:v>
                </c:pt>
                <c:pt idx="549">
                  <c:v>29494</c:v>
                </c:pt>
                <c:pt idx="550">
                  <c:v>29462</c:v>
                </c:pt>
                <c:pt idx="551">
                  <c:v>29433</c:v>
                </c:pt>
                <c:pt idx="552">
                  <c:v>29402</c:v>
                </c:pt>
                <c:pt idx="553">
                  <c:v>29371</c:v>
                </c:pt>
                <c:pt idx="554">
                  <c:v>29341</c:v>
                </c:pt>
                <c:pt idx="555">
                  <c:v>29311</c:v>
                </c:pt>
                <c:pt idx="556">
                  <c:v>29280</c:v>
                </c:pt>
                <c:pt idx="557">
                  <c:v>29251</c:v>
                </c:pt>
                <c:pt idx="558">
                  <c:v>29220</c:v>
                </c:pt>
                <c:pt idx="559">
                  <c:v>29189</c:v>
                </c:pt>
                <c:pt idx="560">
                  <c:v>29159</c:v>
                </c:pt>
                <c:pt idx="561">
                  <c:v>29126</c:v>
                </c:pt>
                <c:pt idx="562">
                  <c:v>29098</c:v>
                </c:pt>
                <c:pt idx="563">
                  <c:v>29067</c:v>
                </c:pt>
                <c:pt idx="564">
                  <c:v>29035</c:v>
                </c:pt>
                <c:pt idx="565">
                  <c:v>29006</c:v>
                </c:pt>
                <c:pt idx="566">
                  <c:v>28975</c:v>
                </c:pt>
                <c:pt idx="567">
                  <c:v>28944</c:v>
                </c:pt>
                <c:pt idx="568">
                  <c:v>28914</c:v>
                </c:pt>
                <c:pt idx="569">
                  <c:v>28886</c:v>
                </c:pt>
                <c:pt idx="570">
                  <c:v>28853</c:v>
                </c:pt>
                <c:pt idx="571">
                  <c:v>28824</c:v>
                </c:pt>
                <c:pt idx="572">
                  <c:v>28794</c:v>
                </c:pt>
                <c:pt idx="573">
                  <c:v>28762</c:v>
                </c:pt>
                <c:pt idx="574">
                  <c:v>28733</c:v>
                </c:pt>
                <c:pt idx="575">
                  <c:v>28702</c:v>
                </c:pt>
                <c:pt idx="576">
                  <c:v>28671</c:v>
                </c:pt>
                <c:pt idx="577">
                  <c:v>28641</c:v>
                </c:pt>
                <c:pt idx="578">
                  <c:v>28608</c:v>
                </c:pt>
                <c:pt idx="579">
                  <c:v>28580</c:v>
                </c:pt>
                <c:pt idx="580">
                  <c:v>28549</c:v>
                </c:pt>
              </c:numCache>
            </c:numRef>
          </c:cat>
          <c:val>
            <c:numRef>
              <c:f>PastPrices!$E$2:$E$598</c:f>
              <c:numCache>
                <c:formatCode>General</c:formatCode>
                <c:ptCount val="597"/>
                <c:pt idx="0">
                  <c:v>60.899268620248058</c:v>
                </c:pt>
                <c:pt idx="1">
                  <c:v>60.775699205738583</c:v>
                </c:pt>
                <c:pt idx="2">
                  <c:v>60.621237437601735</c:v>
                </c:pt>
                <c:pt idx="3">
                  <c:v>60.428160227430674</c:v>
                </c:pt>
                <c:pt idx="4">
                  <c:v>60.186813714716848</c:v>
                </c:pt>
                <c:pt idx="5">
                  <c:v>59.885130573824569</c:v>
                </c:pt>
                <c:pt idx="6">
                  <c:v>59.508026647709215</c:v>
                </c:pt>
                <c:pt idx="7">
                  <c:v>59.036646740065024</c:v>
                </c:pt>
                <c:pt idx="8">
                  <c:v>58.447421855509788</c:v>
                </c:pt>
                <c:pt idx="9">
                  <c:v>57.710890749815739</c:v>
                </c:pt>
                <c:pt idx="10">
                  <c:v>56.790226867698181</c:v>
                </c:pt>
                <c:pt idx="11">
                  <c:v>55.63939701505123</c:v>
                </c:pt>
                <c:pt idx="12">
                  <c:v>54.20085969924255</c:v>
                </c:pt>
                <c:pt idx="13">
                  <c:v>52.524157503257555</c:v>
                </c:pt>
                <c:pt idx="14">
                  <c:v>50.623628888331353</c:v>
                </c:pt>
                <c:pt idx="15">
                  <c:v>48.930166264576897</c:v>
                </c:pt>
                <c:pt idx="16">
                  <c:v>47.308425622395148</c:v>
                </c:pt>
                <c:pt idx="17">
                  <c:v>46.081936773440589</c:v>
                </c:pt>
                <c:pt idx="18">
                  <c:v>45.006973509119128</c:v>
                </c:pt>
                <c:pt idx="19">
                  <c:v>43.856944041970898</c:v>
                </c:pt>
                <c:pt idx="20">
                  <c:v>42.424765661800194</c:v>
                </c:pt>
                <c:pt idx="21">
                  <c:v>41.388175718239204</c:v>
                </c:pt>
                <c:pt idx="22">
                  <c:v>40.440101467101222</c:v>
                </c:pt>
                <c:pt idx="23">
                  <c:v>39.55092926232777</c:v>
                </c:pt>
                <c:pt idx="24">
                  <c:v>38.760736799883659</c:v>
                </c:pt>
                <c:pt idx="25">
                  <c:v>37.683610514968095</c:v>
                </c:pt>
                <c:pt idx="26">
                  <c:v>36.403881917856651</c:v>
                </c:pt>
                <c:pt idx="27">
                  <c:v>35.720650726554922</c:v>
                </c:pt>
                <c:pt idx="28">
                  <c:v>35.503731890036534</c:v>
                </c:pt>
                <c:pt idx="29">
                  <c:v>35.23362154480543</c:v>
                </c:pt>
                <c:pt idx="30">
                  <c:v>34.89980151157382</c:v>
                </c:pt>
                <c:pt idx="31">
                  <c:v>34.50938571952927</c:v>
                </c:pt>
                <c:pt idx="32">
                  <c:v>34.352116538092382</c:v>
                </c:pt>
                <c:pt idx="33">
                  <c:v>34.249102060160283</c:v>
                </c:pt>
                <c:pt idx="34">
                  <c:v>34.14843235467319</c:v>
                </c:pt>
                <c:pt idx="35">
                  <c:v>34.060707225214905</c:v>
                </c:pt>
                <c:pt idx="36">
                  <c:v>33.9333344256329</c:v>
                </c:pt>
                <c:pt idx="37">
                  <c:v>33.404083703375001</c:v>
                </c:pt>
                <c:pt idx="38">
                  <c:v>32.723062415319994</c:v>
                </c:pt>
                <c:pt idx="39">
                  <c:v>32.140914145577348</c:v>
                </c:pt>
                <c:pt idx="40">
                  <c:v>31.822246282316769</c:v>
                </c:pt>
                <c:pt idx="41">
                  <c:v>31.245843336576787</c:v>
                </c:pt>
                <c:pt idx="42">
                  <c:v>30.875782530605452</c:v>
                </c:pt>
                <c:pt idx="43">
                  <c:v>30.824869733605276</c:v>
                </c:pt>
                <c:pt idx="44">
                  <c:v>30.895926868862226</c:v>
                </c:pt>
                <c:pt idx="45">
                  <c:v>31.105581420324729</c:v>
                </c:pt>
                <c:pt idx="46">
                  <c:v>31.246649025581398</c:v>
                </c:pt>
                <c:pt idx="47">
                  <c:v>31.533870034743046</c:v>
                </c:pt>
                <c:pt idx="48">
                  <c:v>31.533879893968134</c:v>
                </c:pt>
                <c:pt idx="49">
                  <c:v>31.463596002675388</c:v>
                </c:pt>
                <c:pt idx="50">
                  <c:v>31.149179015325736</c:v>
                </c:pt>
                <c:pt idx="51">
                  <c:v>30.67852718222429</c:v>
                </c:pt>
                <c:pt idx="52">
                  <c:v>30.442798648556963</c:v>
                </c:pt>
                <c:pt idx="53">
                  <c:v>30.379187809734358</c:v>
                </c:pt>
                <c:pt idx="54">
                  <c:v>30.314443499394731</c:v>
                </c:pt>
                <c:pt idx="55">
                  <c:v>30.228288619049732</c:v>
                </c:pt>
                <c:pt idx="56">
                  <c:v>30.38349415644327</c:v>
                </c:pt>
                <c:pt idx="57">
                  <c:v>30.441798236597158</c:v>
                </c:pt>
                <c:pt idx="58">
                  <c:v>30.524557985917969</c:v>
                </c:pt>
                <c:pt idx="59">
                  <c:v>30.576365574412829</c:v>
                </c:pt>
                <c:pt idx="60">
                  <c:v>30.713531166525314</c:v>
                </c:pt>
                <c:pt idx="61">
                  <c:v>30.870185428141266</c:v>
                </c:pt>
                <c:pt idx="62">
                  <c:v>31.218451264763551</c:v>
                </c:pt>
                <c:pt idx="63">
                  <c:v>31.787878866000064</c:v>
                </c:pt>
                <c:pt idx="64">
                  <c:v>32.047342889142953</c:v>
                </c:pt>
                <c:pt idx="65">
                  <c:v>32.105056352947599</c:v>
                </c:pt>
                <c:pt idx="66">
                  <c:v>32.169495405416818</c:v>
                </c:pt>
                <c:pt idx="67">
                  <c:v>32.055967723717401</c:v>
                </c:pt>
                <c:pt idx="68">
                  <c:v>31.663952292131274</c:v>
                </c:pt>
                <c:pt idx="69">
                  <c:v>31.068907308862816</c:v>
                </c:pt>
                <c:pt idx="70">
                  <c:v>30.106007301477909</c:v>
                </c:pt>
                <c:pt idx="71">
                  <c:v>29.299912580906682</c:v>
                </c:pt>
                <c:pt idx="72">
                  <c:v>28.764407447188322</c:v>
                </c:pt>
                <c:pt idx="73">
                  <c:v>27.923287586885532</c:v>
                </c:pt>
                <c:pt idx="74">
                  <c:v>26.977415810333273</c:v>
                </c:pt>
                <c:pt idx="75">
                  <c:v>26.287049125903607</c:v>
                </c:pt>
                <c:pt idx="76">
                  <c:v>25.753970580248584</c:v>
                </c:pt>
                <c:pt idx="77">
                  <c:v>25.351593226757508</c:v>
                </c:pt>
                <c:pt idx="78">
                  <c:v>25.174415523780233</c:v>
                </c:pt>
                <c:pt idx="79">
                  <c:v>24.951168407249121</c:v>
                </c:pt>
                <c:pt idx="80">
                  <c:v>24.585536992951209</c:v>
                </c:pt>
                <c:pt idx="81">
                  <c:v>24.02950029177817</c:v>
                </c:pt>
                <c:pt idx="82">
                  <c:v>23.373906031153606</c:v>
                </c:pt>
                <c:pt idx="83">
                  <c:v>23.016914745928361</c:v>
                </c:pt>
                <c:pt idx="84">
                  <c:v>22.723860436391778</c:v>
                </c:pt>
                <c:pt idx="85">
                  <c:v>22.616690769660636</c:v>
                </c:pt>
                <c:pt idx="86">
                  <c:v>22.506975689531437</c:v>
                </c:pt>
                <c:pt idx="87">
                  <c:v>22.307908208052993</c:v>
                </c:pt>
                <c:pt idx="88">
                  <c:v>22.047318748258888</c:v>
                </c:pt>
                <c:pt idx="89">
                  <c:v>21.806212002660619</c:v>
                </c:pt>
                <c:pt idx="90">
                  <c:v>21.651248319779974</c:v>
                </c:pt>
                <c:pt idx="91">
                  <c:v>21.665150309220685</c:v>
                </c:pt>
                <c:pt idx="92">
                  <c:v>21.786381328046367</c:v>
                </c:pt>
                <c:pt idx="93">
                  <c:v>21.999743261887332</c:v>
                </c:pt>
                <c:pt idx="94">
                  <c:v>22.251676440999912</c:v>
                </c:pt>
                <c:pt idx="95">
                  <c:v>22.365684389054852</c:v>
                </c:pt>
                <c:pt idx="96">
                  <c:v>22.321653152444028</c:v>
                </c:pt>
                <c:pt idx="97">
                  <c:v>22.289320554507913</c:v>
                </c:pt>
                <c:pt idx="98">
                  <c:v>22.175694932529172</c:v>
                </c:pt>
                <c:pt idx="99">
                  <c:v>21.981451471187103</c:v>
                </c:pt>
                <c:pt idx="100">
                  <c:v>21.8640014722647</c:v>
                </c:pt>
                <c:pt idx="101">
                  <c:v>21.787418208263745</c:v>
                </c:pt>
                <c:pt idx="102">
                  <c:v>21.834056546720277</c:v>
                </c:pt>
                <c:pt idx="103">
                  <c:v>21.809968243160498</c:v>
                </c:pt>
                <c:pt idx="104">
                  <c:v>21.860737025219933</c:v>
                </c:pt>
                <c:pt idx="105">
                  <c:v>21.913949959969464</c:v>
                </c:pt>
                <c:pt idx="106">
                  <c:v>21.974940222961649</c:v>
                </c:pt>
                <c:pt idx="107">
                  <c:v>22.211797703295222</c:v>
                </c:pt>
                <c:pt idx="108">
                  <c:v>22.150159274590326</c:v>
                </c:pt>
                <c:pt idx="109">
                  <c:v>22.013264008226038</c:v>
                </c:pt>
                <c:pt idx="110">
                  <c:v>21.814046533342655</c:v>
                </c:pt>
                <c:pt idx="111">
                  <c:v>21.747647492102573</c:v>
                </c:pt>
                <c:pt idx="112">
                  <c:v>21.764282440237661</c:v>
                </c:pt>
                <c:pt idx="113">
                  <c:v>21.937189231648581</c:v>
                </c:pt>
                <c:pt idx="114">
                  <c:v>22.288891601156152</c:v>
                </c:pt>
                <c:pt idx="115">
                  <c:v>22.297666390032219</c:v>
                </c:pt>
                <c:pt idx="116">
                  <c:v>22.253978647728569</c:v>
                </c:pt>
                <c:pt idx="117">
                  <c:v>21.998828837709539</c:v>
                </c:pt>
                <c:pt idx="118">
                  <c:v>21.662208677762628</c:v>
                </c:pt>
                <c:pt idx="119">
                  <c:v>21.237481618177611</c:v>
                </c:pt>
                <c:pt idx="120">
                  <c:v>21.03517997080931</c:v>
                </c:pt>
                <c:pt idx="121">
                  <c:v>20.826644116500848</c:v>
                </c:pt>
                <c:pt idx="122">
                  <c:v>20.699366307017328</c:v>
                </c:pt>
                <c:pt idx="123">
                  <c:v>20.353828344491514</c:v>
                </c:pt>
                <c:pt idx="124">
                  <c:v>19.900003211571519</c:v>
                </c:pt>
                <c:pt idx="125">
                  <c:v>19.64830123181936</c:v>
                </c:pt>
                <c:pt idx="126">
                  <c:v>19.66157763718553</c:v>
                </c:pt>
                <c:pt idx="127">
                  <c:v>19.749306617618064</c:v>
                </c:pt>
                <c:pt idx="128">
                  <c:v>19.614421409477636</c:v>
                </c:pt>
                <c:pt idx="129">
                  <c:v>19.520665800326096</c:v>
                </c:pt>
                <c:pt idx="130">
                  <c:v>19.483278759642914</c:v>
                </c:pt>
                <c:pt idx="131">
                  <c:v>19.491603071220013</c:v>
                </c:pt>
                <c:pt idx="132">
                  <c:v>19.470728486840642</c:v>
                </c:pt>
                <c:pt idx="133">
                  <c:v>19.446544205520059</c:v>
                </c:pt>
                <c:pt idx="134">
                  <c:v>19.363767516640404</c:v>
                </c:pt>
                <c:pt idx="135">
                  <c:v>19.224997841366651</c:v>
                </c:pt>
                <c:pt idx="136">
                  <c:v>18.892054767106099</c:v>
                </c:pt>
                <c:pt idx="137">
                  <c:v>18.531704314440145</c:v>
                </c:pt>
                <c:pt idx="138">
                  <c:v>18.524075471578318</c:v>
                </c:pt>
                <c:pt idx="139">
                  <c:v>18.692038198952805</c:v>
                </c:pt>
                <c:pt idx="140">
                  <c:v>18.773254756476838</c:v>
                </c:pt>
                <c:pt idx="141">
                  <c:v>18.900395560443787</c:v>
                </c:pt>
                <c:pt idx="142">
                  <c:v>18.884736443685195</c:v>
                </c:pt>
                <c:pt idx="143">
                  <c:v>18.893327920337036</c:v>
                </c:pt>
                <c:pt idx="144">
                  <c:v>18.97838232179938</c:v>
                </c:pt>
                <c:pt idx="145">
                  <c:v>19.027063455322029</c:v>
                </c:pt>
                <c:pt idx="146">
                  <c:v>19.004088561145664</c:v>
                </c:pt>
                <c:pt idx="147">
                  <c:v>18.786082564191361</c:v>
                </c:pt>
                <c:pt idx="148">
                  <c:v>18.668065988098576</c:v>
                </c:pt>
                <c:pt idx="149">
                  <c:v>18.772894949958363</c:v>
                </c:pt>
                <c:pt idx="150">
                  <c:v>19.100151031074873</c:v>
                </c:pt>
                <c:pt idx="151">
                  <c:v>19.392138917714401</c:v>
                </c:pt>
                <c:pt idx="152">
                  <c:v>19.671422006116536</c:v>
                </c:pt>
                <c:pt idx="153">
                  <c:v>19.910911996797477</c:v>
                </c:pt>
                <c:pt idx="154">
                  <c:v>20.196878350737201</c:v>
                </c:pt>
                <c:pt idx="155">
                  <c:v>20.763315989980544</c:v>
                </c:pt>
                <c:pt idx="156">
                  <c:v>21.320221152537489</c:v>
                </c:pt>
                <c:pt idx="157">
                  <c:v>21.822008185759497</c:v>
                </c:pt>
                <c:pt idx="158">
                  <c:v>22.211661533499868</c:v>
                </c:pt>
                <c:pt idx="159">
                  <c:v>22.299489922377965</c:v>
                </c:pt>
                <c:pt idx="160">
                  <c:v>22.3690535149052</c:v>
                </c:pt>
                <c:pt idx="161">
                  <c:v>22.409556909492526</c:v>
                </c:pt>
                <c:pt idx="162">
                  <c:v>22.41942841377983</c:v>
                </c:pt>
                <c:pt idx="163">
                  <c:v>22.278181113111639</c:v>
                </c:pt>
                <c:pt idx="164">
                  <c:v>22.075533015510093</c:v>
                </c:pt>
                <c:pt idx="165">
                  <c:v>21.877917322323778</c:v>
                </c:pt>
                <c:pt idx="166">
                  <c:v>21.941821985530741</c:v>
                </c:pt>
                <c:pt idx="167">
                  <c:v>22.014234469605057</c:v>
                </c:pt>
                <c:pt idx="168">
                  <c:v>22.02929634762544</c:v>
                </c:pt>
                <c:pt idx="169">
                  <c:v>22.169928047287062</c:v>
                </c:pt>
                <c:pt idx="170">
                  <c:v>22.228568476435921</c:v>
                </c:pt>
                <c:pt idx="171">
                  <c:v>22.215899320286489</c:v>
                </c:pt>
                <c:pt idx="172">
                  <c:v>21.952803724200283</c:v>
                </c:pt>
                <c:pt idx="173">
                  <c:v>21.822799844430563</c:v>
                </c:pt>
                <c:pt idx="174">
                  <c:v>21.612269852853348</c:v>
                </c:pt>
                <c:pt idx="175">
                  <c:v>21.046187274002826</c:v>
                </c:pt>
                <c:pt idx="176">
                  <c:v>20.617692510902319</c:v>
                </c:pt>
                <c:pt idx="177">
                  <c:v>19.831264930508233</c:v>
                </c:pt>
                <c:pt idx="178">
                  <c:v>19.014074599029431</c:v>
                </c:pt>
                <c:pt idx="179">
                  <c:v>18.734230176035059</c:v>
                </c:pt>
                <c:pt idx="180">
                  <c:v>18.413996614005381</c:v>
                </c:pt>
                <c:pt idx="181">
                  <c:v>18.115448302323276</c:v>
                </c:pt>
                <c:pt idx="182">
                  <c:v>17.911924955041716</c:v>
                </c:pt>
                <c:pt idx="183">
                  <c:v>17.731366961882905</c:v>
                </c:pt>
                <c:pt idx="184">
                  <c:v>17.624191769639733</c:v>
                </c:pt>
                <c:pt idx="185">
                  <c:v>17.513699504891843</c:v>
                </c:pt>
                <c:pt idx="186">
                  <c:v>17.196109463179521</c:v>
                </c:pt>
                <c:pt idx="187">
                  <c:v>16.848821569705613</c:v>
                </c:pt>
                <c:pt idx="188">
                  <c:v>16.48484046650719</c:v>
                </c:pt>
                <c:pt idx="189">
                  <c:v>16.207329378124903</c:v>
                </c:pt>
                <c:pt idx="190">
                  <c:v>16.022399782681529</c:v>
                </c:pt>
                <c:pt idx="191">
                  <c:v>15.85771610539415</c:v>
                </c:pt>
                <c:pt idx="192">
                  <c:v>15.535047216717047</c:v>
                </c:pt>
                <c:pt idx="193">
                  <c:v>15.212389325363651</c:v>
                </c:pt>
                <c:pt idx="194">
                  <c:v>15.148022652117726</c:v>
                </c:pt>
                <c:pt idx="195">
                  <c:v>15.120512531821594</c:v>
                </c:pt>
                <c:pt idx="196">
                  <c:v>15.024938037527111</c:v>
                </c:pt>
                <c:pt idx="197">
                  <c:v>14.876098894961894</c:v>
                </c:pt>
                <c:pt idx="198">
                  <c:v>14.583718149864454</c:v>
                </c:pt>
                <c:pt idx="199">
                  <c:v>14.231973256264395</c:v>
                </c:pt>
                <c:pt idx="200">
                  <c:v>14.107335730285696</c:v>
                </c:pt>
                <c:pt idx="201">
                  <c:v>14.024748697370921</c:v>
                </c:pt>
                <c:pt idx="202">
                  <c:v>14.074364799862144</c:v>
                </c:pt>
                <c:pt idx="203">
                  <c:v>14.078044762614288</c:v>
                </c:pt>
                <c:pt idx="204">
                  <c:v>14.030165359497598</c:v>
                </c:pt>
                <c:pt idx="205">
                  <c:v>13.95866146866377</c:v>
                </c:pt>
                <c:pt idx="206">
                  <c:v>13.796440124259203</c:v>
                </c:pt>
                <c:pt idx="207">
                  <c:v>13.331434112649275</c:v>
                </c:pt>
                <c:pt idx="208">
                  <c:v>12.730886164584373</c:v>
                </c:pt>
                <c:pt idx="209">
                  <c:v>12.389587097117285</c:v>
                </c:pt>
                <c:pt idx="210">
                  <c:v>12.109516973244737</c:v>
                </c:pt>
                <c:pt idx="211">
                  <c:v>12.028691620074282</c:v>
                </c:pt>
                <c:pt idx="212">
                  <c:v>11.854717976740845</c:v>
                </c:pt>
                <c:pt idx="213">
                  <c:v>11.877778515931709</c:v>
                </c:pt>
                <c:pt idx="214">
                  <c:v>11.885873671918562</c:v>
                </c:pt>
                <c:pt idx="215">
                  <c:v>11.668325312579466</c:v>
                </c:pt>
                <c:pt idx="216">
                  <c:v>11.556574140630559</c:v>
                </c:pt>
                <c:pt idx="217">
                  <c:v>11.472646585182105</c:v>
                </c:pt>
                <c:pt idx="218">
                  <c:v>11.251760107204371</c:v>
                </c:pt>
                <c:pt idx="219">
                  <c:v>10.819319121150532</c:v>
                </c:pt>
                <c:pt idx="220">
                  <c:v>10.437344629678824</c:v>
                </c:pt>
                <c:pt idx="221">
                  <c:v>10.034359022666873</c:v>
                </c:pt>
                <c:pt idx="222">
                  <c:v>9.8395753637660999</c:v>
                </c:pt>
                <c:pt idx="223">
                  <c:v>9.6888640209394534</c:v>
                </c:pt>
                <c:pt idx="224">
                  <c:v>9.645956862114538</c:v>
                </c:pt>
                <c:pt idx="225">
                  <c:v>9.6083982748771373</c:v>
                </c:pt>
                <c:pt idx="226">
                  <c:v>9.6516730060915314</c:v>
                </c:pt>
                <c:pt idx="227">
                  <c:v>9.7233823368605865</c:v>
                </c:pt>
                <c:pt idx="228">
                  <c:v>9.8155977561961105</c:v>
                </c:pt>
                <c:pt idx="229">
                  <c:v>9.8229946580172811</c:v>
                </c:pt>
                <c:pt idx="230">
                  <c:v>9.7000879193247478</c:v>
                </c:pt>
                <c:pt idx="231">
                  <c:v>9.5613911858278513</c:v>
                </c:pt>
                <c:pt idx="232">
                  <c:v>9.3455880132084506</c:v>
                </c:pt>
                <c:pt idx="233">
                  <c:v>9.196399257137287</c:v>
                </c:pt>
                <c:pt idx="234">
                  <c:v>9.0660096248962994</c:v>
                </c:pt>
                <c:pt idx="235">
                  <c:v>8.943177497493398</c:v>
                </c:pt>
                <c:pt idx="236">
                  <c:v>8.965495092726135</c:v>
                </c:pt>
                <c:pt idx="237">
                  <c:v>8.971455916668301</c:v>
                </c:pt>
                <c:pt idx="238">
                  <c:v>8.8427352403035755</c:v>
                </c:pt>
                <c:pt idx="239">
                  <c:v>8.6582571982835095</c:v>
                </c:pt>
                <c:pt idx="240">
                  <c:v>8.5992976179051848</c:v>
                </c:pt>
                <c:pt idx="241">
                  <c:v>8.2383850206506999</c:v>
                </c:pt>
                <c:pt idx="242">
                  <c:v>7.9596190336219799</c:v>
                </c:pt>
                <c:pt idx="243">
                  <c:v>7.7902678669172234</c:v>
                </c:pt>
                <c:pt idx="244">
                  <c:v>7.6020221437563231</c:v>
                </c:pt>
                <c:pt idx="245">
                  <c:v>7.3715710885293504</c:v>
                </c:pt>
                <c:pt idx="246">
                  <c:v>7.2320369097826323</c:v>
                </c:pt>
                <c:pt idx="247">
                  <c:v>7.1542388057918487</c:v>
                </c:pt>
                <c:pt idx="248">
                  <c:v>7.089409821079089</c:v>
                </c:pt>
                <c:pt idx="249">
                  <c:v>7.0629293475787867</c:v>
                </c:pt>
                <c:pt idx="250">
                  <c:v>7.061577594258555</c:v>
                </c:pt>
                <c:pt idx="251">
                  <c:v>7.0874839394958613</c:v>
                </c:pt>
                <c:pt idx="252">
                  <c:v>7.070937490104658</c:v>
                </c:pt>
                <c:pt idx="253">
                  <c:v>7.0649901762182532</c:v>
                </c:pt>
                <c:pt idx="254">
                  <c:v>7.0535706838728398</c:v>
                </c:pt>
                <c:pt idx="255">
                  <c:v>7.0497118129459784</c:v>
                </c:pt>
                <c:pt idx="256">
                  <c:v>7.0556051318165656</c:v>
                </c:pt>
                <c:pt idx="257">
                  <c:v>7.0790471416985437</c:v>
                </c:pt>
                <c:pt idx="258">
                  <c:v>7.0442826412282376</c:v>
                </c:pt>
                <c:pt idx="259">
                  <c:v>7.0455366142385829</c:v>
                </c:pt>
                <c:pt idx="260">
                  <c:v>7.0509889594808373</c:v>
                </c:pt>
                <c:pt idx="261">
                  <c:v>7.0661434847047842</c:v>
                </c:pt>
                <c:pt idx="262">
                  <c:v>7.0730301202644092</c:v>
                </c:pt>
                <c:pt idx="263">
                  <c:v>7.0788587168235635</c:v>
                </c:pt>
                <c:pt idx="264">
                  <c:v>7.0643757441038941</c:v>
                </c:pt>
                <c:pt idx="265">
                  <c:v>7.0593667495915033</c:v>
                </c:pt>
                <c:pt idx="266">
                  <c:v>7.0120463544799074</c:v>
                </c:pt>
                <c:pt idx="267">
                  <c:v>6.9571491332660491</c:v>
                </c:pt>
                <c:pt idx="268">
                  <c:v>6.893986531521394</c:v>
                </c:pt>
                <c:pt idx="269">
                  <c:v>6.8210280494897004</c:v>
                </c:pt>
                <c:pt idx="270">
                  <c:v>6.7353558523948092</c:v>
                </c:pt>
                <c:pt idx="271">
                  <c:v>6.7053938499001422</c:v>
                </c:pt>
                <c:pt idx="272">
                  <c:v>6.7032736512920197</c:v>
                </c:pt>
                <c:pt idx="273">
                  <c:v>6.6487133821874815</c:v>
                </c:pt>
                <c:pt idx="274">
                  <c:v>6.6288396006961294</c:v>
                </c:pt>
                <c:pt idx="275">
                  <c:v>6.6634092299467396</c:v>
                </c:pt>
                <c:pt idx="276">
                  <c:v>6.715864599253905</c:v>
                </c:pt>
                <c:pt idx="277">
                  <c:v>6.7485128105717136</c:v>
                </c:pt>
                <c:pt idx="278">
                  <c:v>6.8329609825642859</c:v>
                </c:pt>
                <c:pt idx="279">
                  <c:v>6.8577759973899601</c:v>
                </c:pt>
                <c:pt idx="280">
                  <c:v>6.7541636150869389</c:v>
                </c:pt>
                <c:pt idx="281">
                  <c:v>6.6020756507248617</c:v>
                </c:pt>
                <c:pt idx="282">
                  <c:v>6.5198715579565292</c:v>
                </c:pt>
                <c:pt idx="283">
                  <c:v>6.4703995666176723</c:v>
                </c:pt>
                <c:pt idx="284">
                  <c:v>6.4151571736417434</c:v>
                </c:pt>
                <c:pt idx="285">
                  <c:v>6.3359901009411841</c:v>
                </c:pt>
                <c:pt idx="286">
                  <c:v>6.2890082615819267</c:v>
                </c:pt>
                <c:pt idx="287">
                  <c:v>6.2398926888230744</c:v>
                </c:pt>
                <c:pt idx="288">
                  <c:v>6.1519738767398291</c:v>
                </c:pt>
                <c:pt idx="289">
                  <c:v>6.0595238267066911</c:v>
                </c:pt>
                <c:pt idx="290">
                  <c:v>5.9722940884454951</c:v>
                </c:pt>
                <c:pt idx="291">
                  <c:v>5.9023736281004462</c:v>
                </c:pt>
                <c:pt idx="292">
                  <c:v>5.7984958073430466</c:v>
                </c:pt>
                <c:pt idx="293">
                  <c:v>5.7396145534409762</c:v>
                </c:pt>
                <c:pt idx="294">
                  <c:v>5.7191956396768608</c:v>
                </c:pt>
                <c:pt idx="295">
                  <c:v>5.6754197643361097</c:v>
                </c:pt>
                <c:pt idx="296">
                  <c:v>5.6051604042428842</c:v>
                </c:pt>
                <c:pt idx="297">
                  <c:v>5.5189437402557271</c:v>
                </c:pt>
                <c:pt idx="298">
                  <c:v>5.4936261175742818</c:v>
                </c:pt>
                <c:pt idx="299">
                  <c:v>5.496641587012113</c:v>
                </c:pt>
                <c:pt idx="300">
                  <c:v>5.4910001393853554</c:v>
                </c:pt>
                <c:pt idx="301">
                  <c:v>5.4579598290936868</c:v>
                </c:pt>
                <c:pt idx="302">
                  <c:v>5.4642492087257928</c:v>
                </c:pt>
                <c:pt idx="303">
                  <c:v>5.4577100887736112</c:v>
                </c:pt>
                <c:pt idx="304">
                  <c:v>5.4870118748494274</c:v>
                </c:pt>
                <c:pt idx="305">
                  <c:v>5.5227013780353955</c:v>
                </c:pt>
                <c:pt idx="306">
                  <c:v>5.5178145403675325</c:v>
                </c:pt>
                <c:pt idx="307">
                  <c:v>5.5233606302206697</c:v>
                </c:pt>
                <c:pt idx="308">
                  <c:v>5.5371587614229609</c:v>
                </c:pt>
                <c:pt idx="309">
                  <c:v>5.560032801878636</c:v>
                </c:pt>
                <c:pt idx="310">
                  <c:v>5.5871852679989988</c:v>
                </c:pt>
                <c:pt idx="311">
                  <c:v>5.5901807801589927</c:v>
                </c:pt>
                <c:pt idx="312">
                  <c:v>5.5747352078145775</c:v>
                </c:pt>
                <c:pt idx="313">
                  <c:v>5.5893204624450377</c:v>
                </c:pt>
                <c:pt idx="314">
                  <c:v>5.6114704000484625</c:v>
                </c:pt>
                <c:pt idx="315">
                  <c:v>5.6131023406224658</c:v>
                </c:pt>
                <c:pt idx="316">
                  <c:v>5.5590124631559767</c:v>
                </c:pt>
                <c:pt idx="317">
                  <c:v>5.5691646765813569</c:v>
                </c:pt>
                <c:pt idx="318">
                  <c:v>5.5635357295554186</c:v>
                </c:pt>
                <c:pt idx="319">
                  <c:v>5.5130290896078273</c:v>
                </c:pt>
                <c:pt idx="320">
                  <c:v>5.3544148416556974</c:v>
                </c:pt>
                <c:pt idx="321">
                  <c:v>5.3836803746940856</c:v>
                </c:pt>
                <c:pt idx="322">
                  <c:v>5.4464517337664633</c:v>
                </c:pt>
                <c:pt idx="323">
                  <c:v>5.5320158838450064</c:v>
                </c:pt>
                <c:pt idx="324">
                  <c:v>5.6289239706345953</c:v>
                </c:pt>
                <c:pt idx="325">
                  <c:v>5.6830449167282806</c:v>
                </c:pt>
                <c:pt idx="326">
                  <c:v>5.6964417549789976</c:v>
                </c:pt>
                <c:pt idx="327">
                  <c:v>5.6675404747853637</c:v>
                </c:pt>
                <c:pt idx="328">
                  <c:v>5.6431354921533439</c:v>
                </c:pt>
                <c:pt idx="329">
                  <c:v>5.5930374172865669</c:v>
                </c:pt>
                <c:pt idx="330">
                  <c:v>5.5510828152474554</c:v>
                </c:pt>
                <c:pt idx="331">
                  <c:v>5.4017905009638207</c:v>
                </c:pt>
                <c:pt idx="332">
                  <c:v>5.4427110968243744</c:v>
                </c:pt>
                <c:pt idx="333">
                  <c:v>5.520336421145406</c:v>
                </c:pt>
                <c:pt idx="334">
                  <c:v>5.6246321304313067</c:v>
                </c:pt>
                <c:pt idx="335">
                  <c:v>5.7447043594586145</c:v>
                </c:pt>
                <c:pt idx="336">
                  <c:v>5.8282441905421019</c:v>
                </c:pt>
                <c:pt idx="337">
                  <c:v>5.8777481773431015</c:v>
                </c:pt>
                <c:pt idx="338">
                  <c:v>5.8939314345916785</c:v>
                </c:pt>
                <c:pt idx="339">
                  <c:v>5.9265721586459561</c:v>
                </c:pt>
                <c:pt idx="340">
                  <c:v>5.9472632890903689</c:v>
                </c:pt>
                <c:pt idx="341">
                  <c:v>5.9278012139130487</c:v>
                </c:pt>
                <c:pt idx="342">
                  <c:v>5.8920333881346885</c:v>
                </c:pt>
                <c:pt idx="343">
                  <c:v>5.8345564535012384</c:v>
                </c:pt>
                <c:pt idx="344">
                  <c:v>5.8206692970569671</c:v>
                </c:pt>
                <c:pt idx="345">
                  <c:v>5.8180853835183886</c:v>
                </c:pt>
                <c:pt idx="346">
                  <c:v>5.8150594477415805</c:v>
                </c:pt>
                <c:pt idx="347">
                  <c:v>5.8344139606272964</c:v>
                </c:pt>
                <c:pt idx="348">
                  <c:v>5.8451929160318681</c:v>
                </c:pt>
                <c:pt idx="349">
                  <c:v>5.8304929655745017</c:v>
                </c:pt>
                <c:pt idx="350">
                  <c:v>5.8836229090541732</c:v>
                </c:pt>
                <c:pt idx="351">
                  <c:v>5.9255829053978299</c:v>
                </c:pt>
                <c:pt idx="352">
                  <c:v>6.0120750571227806</c:v>
                </c:pt>
                <c:pt idx="353">
                  <c:v>6.1362524463706558</c:v>
                </c:pt>
                <c:pt idx="354">
                  <c:v>6.2224295349541183</c:v>
                </c:pt>
                <c:pt idx="355">
                  <c:v>6.2697455152600217</c:v>
                </c:pt>
                <c:pt idx="356">
                  <c:v>6.3377675730714946</c:v>
                </c:pt>
                <c:pt idx="357">
                  <c:v>6.4144924221696336</c:v>
                </c:pt>
                <c:pt idx="358">
                  <c:v>6.5233257197590238</c:v>
                </c:pt>
                <c:pt idx="359">
                  <c:v>6.5749593035292708</c:v>
                </c:pt>
                <c:pt idx="360">
                  <c:v>6.6293817428366584</c:v>
                </c:pt>
                <c:pt idx="361">
                  <c:v>6.6788156225044348</c:v>
                </c:pt>
                <c:pt idx="362">
                  <c:v>6.7331820929008535</c:v>
                </c:pt>
                <c:pt idx="363">
                  <c:v>6.8437586429129764</c:v>
                </c:pt>
                <c:pt idx="364">
                  <c:v>6.9502832056618935</c:v>
                </c:pt>
                <c:pt idx="365">
                  <c:v>7.0056404901098235</c:v>
                </c:pt>
                <c:pt idx="366">
                  <c:v>7.0637092282271645</c:v>
                </c:pt>
                <c:pt idx="367">
                  <c:v>7.1058106059941109</c:v>
                </c:pt>
                <c:pt idx="368">
                  <c:v>7.1251273711240088</c:v>
                </c:pt>
                <c:pt idx="369">
                  <c:v>7.1266299755020439</c:v>
                </c:pt>
                <c:pt idx="370">
                  <c:v>7.1498903034637502</c:v>
                </c:pt>
                <c:pt idx="371">
                  <c:v>7.1752840537955835</c:v>
                </c:pt>
                <c:pt idx="372">
                  <c:v>7.1718560639168789</c:v>
                </c:pt>
                <c:pt idx="373">
                  <c:v>7.1767454527105183</c:v>
                </c:pt>
                <c:pt idx="374">
                  <c:v>7.1593160612303119</c:v>
                </c:pt>
                <c:pt idx="375">
                  <c:v>7.0843529644497529</c:v>
                </c:pt>
                <c:pt idx="376">
                  <c:v>7.0269958537529087</c:v>
                </c:pt>
                <c:pt idx="377">
                  <c:v>7.0057711097841455</c:v>
                </c:pt>
                <c:pt idx="378">
                  <c:v>7.011423622468981</c:v>
                </c:pt>
                <c:pt idx="379">
                  <c:v>7.0381039838012844</c:v>
                </c:pt>
                <c:pt idx="380">
                  <c:v>7.0648658816597507</c:v>
                </c:pt>
                <c:pt idx="381">
                  <c:v>7.0890952163825638</c:v>
                </c:pt>
                <c:pt idx="382">
                  <c:v>7.100230101224744</c:v>
                </c:pt>
                <c:pt idx="383">
                  <c:v>7.0873956891283871</c:v>
                </c:pt>
                <c:pt idx="384">
                  <c:v>7.1037200120888642</c:v>
                </c:pt>
                <c:pt idx="385">
                  <c:v>7.0764787817021917</c:v>
                </c:pt>
                <c:pt idx="386">
                  <c:v>7.0434174524842099</c:v>
                </c:pt>
                <c:pt idx="387">
                  <c:v>7.0378541160966321</c:v>
                </c:pt>
                <c:pt idx="388">
                  <c:v>7.0051923617925471</c:v>
                </c:pt>
                <c:pt idx="389">
                  <c:v>6.9952514973535056</c:v>
                </c:pt>
                <c:pt idx="390">
                  <c:v>6.9877624951613733</c:v>
                </c:pt>
                <c:pt idx="391">
                  <c:v>6.9729662297484643</c:v>
                </c:pt>
                <c:pt idx="392">
                  <c:v>6.9401642618052639</c:v>
                </c:pt>
                <c:pt idx="393">
                  <c:v>6.9189367401200839</c:v>
                </c:pt>
                <c:pt idx="394">
                  <c:v>6.86401438864028</c:v>
                </c:pt>
                <c:pt idx="395">
                  <c:v>6.7937851596446643</c:v>
                </c:pt>
                <c:pt idx="396">
                  <c:v>6.7283218413123844</c:v>
                </c:pt>
                <c:pt idx="397">
                  <c:v>6.6638487921211871</c:v>
                </c:pt>
                <c:pt idx="398">
                  <c:v>6.5745024369875846</c:v>
                </c:pt>
                <c:pt idx="399">
                  <c:v>6.5017804085088224</c:v>
                </c:pt>
                <c:pt idx="400">
                  <c:v>6.4209693484141983</c:v>
                </c:pt>
                <c:pt idx="401">
                  <c:v>6.3148071209189078</c:v>
                </c:pt>
                <c:pt idx="402">
                  <c:v>6.2442514488790604</c:v>
                </c:pt>
                <c:pt idx="403">
                  <c:v>6.1884206804248931</c:v>
                </c:pt>
                <c:pt idx="404">
                  <c:v>6.1634310702009278</c:v>
                </c:pt>
                <c:pt idx="405">
                  <c:v>6.0476838066989203</c:v>
                </c:pt>
                <c:pt idx="406">
                  <c:v>5.8758725551382165</c:v>
                </c:pt>
                <c:pt idx="407">
                  <c:v>5.7514639772081457</c:v>
                </c:pt>
                <c:pt idx="408">
                  <c:v>5.628370593948171</c:v>
                </c:pt>
                <c:pt idx="409">
                  <c:v>5.5894571994389803</c:v>
                </c:pt>
                <c:pt idx="410">
                  <c:v>5.6081725597367251</c:v>
                </c:pt>
                <c:pt idx="411">
                  <c:v>5.6207492141199769</c:v>
                </c:pt>
                <c:pt idx="412">
                  <c:v>5.6196204747073217</c:v>
                </c:pt>
                <c:pt idx="413">
                  <c:v>5.5981628716111471</c:v>
                </c:pt>
                <c:pt idx="414">
                  <c:v>5.5758165832284678</c:v>
                </c:pt>
                <c:pt idx="415">
                  <c:v>5.5322226704033834</c:v>
                </c:pt>
                <c:pt idx="416">
                  <c:v>5.5021392419217952</c:v>
                </c:pt>
                <c:pt idx="417">
                  <c:v>5.5104355382478873</c:v>
                </c:pt>
                <c:pt idx="418">
                  <c:v>5.4806010951564863</c:v>
                </c:pt>
                <c:pt idx="419">
                  <c:v>5.4860946582860359</c:v>
                </c:pt>
                <c:pt idx="420">
                  <c:v>5.5030612928341283</c:v>
                </c:pt>
                <c:pt idx="421">
                  <c:v>5.5308892188579915</c:v>
                </c:pt>
                <c:pt idx="422">
                  <c:v>5.539026435345547</c:v>
                </c:pt>
                <c:pt idx="423">
                  <c:v>5.5226663089270591</c:v>
                </c:pt>
                <c:pt idx="424">
                  <c:v>5.529753646684167</c:v>
                </c:pt>
                <c:pt idx="425">
                  <c:v>5.5272285494253452</c:v>
                </c:pt>
                <c:pt idx="426">
                  <c:v>5.5454915585753168</c:v>
                </c:pt>
                <c:pt idx="427">
                  <c:v>5.577162036647028</c:v>
                </c:pt>
                <c:pt idx="428">
                  <c:v>5.6434456494787897</c:v>
                </c:pt>
                <c:pt idx="429">
                  <c:v>5.6881288852231338</c:v>
                </c:pt>
                <c:pt idx="430">
                  <c:v>5.6954012791247131</c:v>
                </c:pt>
                <c:pt idx="431">
                  <c:v>5.7149921305180893</c:v>
                </c:pt>
                <c:pt idx="432">
                  <c:v>5.7688957927391353</c:v>
                </c:pt>
                <c:pt idx="433">
                  <c:v>5.8264243556243009</c:v>
                </c:pt>
                <c:pt idx="434">
                  <c:v>5.8748495926969806</c:v>
                </c:pt>
                <c:pt idx="435">
                  <c:v>5.9369152643506302</c:v>
                </c:pt>
                <c:pt idx="436">
                  <c:v>5.9358228277389662</c:v>
                </c:pt>
                <c:pt idx="437">
                  <c:v>5.9511802793862527</c:v>
                </c:pt>
                <c:pt idx="438">
                  <c:v>5.9511223610910733</c:v>
                </c:pt>
                <c:pt idx="439">
                  <c:v>5.9605527121088802</c:v>
                </c:pt>
                <c:pt idx="440">
                  <c:v>5.9419849768144477</c:v>
                </c:pt>
                <c:pt idx="441">
                  <c:v>5.9139911127237088</c:v>
                </c:pt>
                <c:pt idx="442">
                  <c:v>5.988116694045762</c:v>
                </c:pt>
                <c:pt idx="443">
                  <c:v>6.1021353810631842</c:v>
                </c:pt>
                <c:pt idx="444">
                  <c:v>6.1758838565152931</c:v>
                </c:pt>
                <c:pt idx="445">
                  <c:v>6.261806322618706</c:v>
                </c:pt>
                <c:pt idx="446">
                  <c:v>6.2746248595644749</c:v>
                </c:pt>
                <c:pt idx="447">
                  <c:v>6.1735708730313164</c:v>
                </c:pt>
                <c:pt idx="448">
                  <c:v>6.1077170769633193</c:v>
                </c:pt>
                <c:pt idx="449">
                  <c:v>6.0418714508279585</c:v>
                </c:pt>
                <c:pt idx="450">
                  <c:v>6.0074802140766881</c:v>
                </c:pt>
                <c:pt idx="451">
                  <c:v>6.0659776032118948</c:v>
                </c:pt>
                <c:pt idx="452">
                  <c:v>6.1497123266473688</c:v>
                </c:pt>
                <c:pt idx="453">
                  <c:v>6.2493046676905237</c:v>
                </c:pt>
                <c:pt idx="454">
                  <c:v>6.3237499490215008</c:v>
                </c:pt>
                <c:pt idx="455">
                  <c:v>6.4300427017614661</c:v>
                </c:pt>
                <c:pt idx="456">
                  <c:v>6.5530288595966324</c:v>
                </c:pt>
                <c:pt idx="457">
                  <c:v>6.6609633549197502</c:v>
                </c:pt>
                <c:pt idx="458">
                  <c:v>6.765288822389218</c:v>
                </c:pt>
                <c:pt idx="459">
                  <c:v>6.9119150264647207</c:v>
                </c:pt>
                <c:pt idx="460">
                  <c:v>7.0255954525071713</c:v>
                </c:pt>
                <c:pt idx="461">
                  <c:v>7.1019440399415172</c:v>
                </c:pt>
                <c:pt idx="462">
                  <c:v>7.1639960044550577</c:v>
                </c:pt>
                <c:pt idx="463">
                  <c:v>7.3154611374618019</c:v>
                </c:pt>
                <c:pt idx="464">
                  <c:v>7.4443509032628894</c:v>
                </c:pt>
                <c:pt idx="465">
                  <c:v>7.5385712883184617</c:v>
                </c:pt>
                <c:pt idx="466">
                  <c:v>7.6532346466721295</c:v>
                </c:pt>
                <c:pt idx="467">
                  <c:v>7.7278553056502171</c:v>
                </c:pt>
                <c:pt idx="468">
                  <c:v>7.7917647933227583</c:v>
                </c:pt>
                <c:pt idx="469">
                  <c:v>7.8705221913308678</c:v>
                </c:pt>
                <c:pt idx="470">
                  <c:v>7.9888103219115063</c:v>
                </c:pt>
                <c:pt idx="471">
                  <c:v>8.1063493730973946</c:v>
                </c:pt>
                <c:pt idx="472">
                  <c:v>8.0804506282573278</c:v>
                </c:pt>
                <c:pt idx="473">
                  <c:v>7.9699963542153007</c:v>
                </c:pt>
                <c:pt idx="474">
                  <c:v>7.9041464024681947</c:v>
                </c:pt>
                <c:pt idx="475">
                  <c:v>7.8433658375465303</c:v>
                </c:pt>
                <c:pt idx="476">
                  <c:v>7.777375107629708</c:v>
                </c:pt>
                <c:pt idx="477">
                  <c:v>7.676022828091182</c:v>
                </c:pt>
                <c:pt idx="478">
                  <c:v>7.5955365500211958</c:v>
                </c:pt>
                <c:pt idx="479">
                  <c:v>7.4767418759243691</c:v>
                </c:pt>
                <c:pt idx="480">
                  <c:v>7.2787670306857315</c:v>
                </c:pt>
                <c:pt idx="481">
                  <c:v>7.1615798666388146</c:v>
                </c:pt>
                <c:pt idx="482">
                  <c:v>7.1490301285225284</c:v>
                </c:pt>
                <c:pt idx="483">
                  <c:v>7.1447094084736094</c:v>
                </c:pt>
                <c:pt idx="484">
                  <c:v>7.0687649334664462</c:v>
                </c:pt>
                <c:pt idx="485">
                  <c:v>7.03049563452426</c:v>
                </c:pt>
                <c:pt idx="486">
                  <c:v>6.9365900395088973</c:v>
                </c:pt>
                <c:pt idx="487">
                  <c:v>6.6975688679408396</c:v>
                </c:pt>
                <c:pt idx="488">
                  <c:v>6.4352131104215724</c:v>
                </c:pt>
                <c:pt idx="489">
                  <c:v>6.2955476331708669</c:v>
                </c:pt>
                <c:pt idx="490">
                  <c:v>6.2588734644679604</c:v>
                </c:pt>
                <c:pt idx="491">
                  <c:v>6.228882198496386</c:v>
                </c:pt>
                <c:pt idx="492">
                  <c:v>6.2078891159461822</c:v>
                </c:pt>
                <c:pt idx="493">
                  <c:v>6.1799482621663175</c:v>
                </c:pt>
                <c:pt idx="494">
                  <c:v>6.1064958501035536</c:v>
                </c:pt>
                <c:pt idx="495">
                  <c:v>6.038205454116734</c:v>
                </c:pt>
                <c:pt idx="496">
                  <c:v>5.9241281464352822</c:v>
                </c:pt>
                <c:pt idx="497">
                  <c:v>5.9057024585650781</c:v>
                </c:pt>
                <c:pt idx="498">
                  <c:v>5.8829428595915871</c:v>
                </c:pt>
                <c:pt idx="499">
                  <c:v>5.8616089855900562</c:v>
                </c:pt>
                <c:pt idx="500">
                  <c:v>5.844522993793583</c:v>
                </c:pt>
                <c:pt idx="501">
                  <c:v>5.8072727990469462</c:v>
                </c:pt>
                <c:pt idx="502">
                  <c:v>5.8224608767966899</c:v>
                </c:pt>
                <c:pt idx="503">
                  <c:v>5.8292135617687384</c:v>
                </c:pt>
                <c:pt idx="504">
                  <c:v>5.8301239484760803</c:v>
                </c:pt>
                <c:pt idx="505">
                  <c:v>5.8040587366142784</c:v>
                </c:pt>
                <c:pt idx="506">
                  <c:v>5.8522416788952825</c:v>
                </c:pt>
                <c:pt idx="507">
                  <c:v>5.9578102434688249</c:v>
                </c:pt>
                <c:pt idx="508">
                  <c:v>6.1037439546353012</c:v>
                </c:pt>
                <c:pt idx="509">
                  <c:v>6.2167421241312235</c:v>
                </c:pt>
                <c:pt idx="510">
                  <c:v>6.2642815314694813</c:v>
                </c:pt>
                <c:pt idx="511">
                  <c:v>6.3285650709483789</c:v>
                </c:pt>
                <c:pt idx="512">
                  <c:v>6.4119511074949864</c:v>
                </c:pt>
                <c:pt idx="513">
                  <c:v>6.4984958996564011</c:v>
                </c:pt>
                <c:pt idx="514">
                  <c:v>6.583816085071998</c:v>
                </c:pt>
                <c:pt idx="515">
                  <c:v>6.5787451346058408</c:v>
                </c:pt>
                <c:pt idx="516">
                  <c:v>6.5893720144388661</c:v>
                </c:pt>
                <c:pt idx="517">
                  <c:v>6.6031239430891731</c:v>
                </c:pt>
                <c:pt idx="518">
                  <c:v>6.5759209734116508</c:v>
                </c:pt>
                <c:pt idx="519">
                  <c:v>6.6060913092514744</c:v>
                </c:pt>
                <c:pt idx="520">
                  <c:v>6.7075024128033505</c:v>
                </c:pt>
                <c:pt idx="521">
                  <c:v>6.7642595673837214</c:v>
                </c:pt>
                <c:pt idx="522">
                  <c:v>6.8777485500340081</c:v>
                </c:pt>
                <c:pt idx="523">
                  <c:v>6.971535941533217</c:v>
                </c:pt>
                <c:pt idx="524">
                  <c:v>7.0135020907673207</c:v>
                </c:pt>
                <c:pt idx="525">
                  <c:v>7.0476995399840323</c:v>
                </c:pt>
                <c:pt idx="526">
                  <c:v>7.0662576214048798</c:v>
                </c:pt>
                <c:pt idx="527">
                  <c:v>7.1284257503456203</c:v>
                </c:pt>
                <c:pt idx="528">
                  <c:v>7.1100761500263232</c:v>
                </c:pt>
                <c:pt idx="529">
                  <c:v>7.1008833156106652</c:v>
                </c:pt>
                <c:pt idx="530">
                  <c:v>7.1491011879864663</c:v>
                </c:pt>
                <c:pt idx="531">
                  <c:v>6.9077134794799502</c:v>
                </c:pt>
                <c:pt idx="532">
                  <c:v>6.646537918120333</c:v>
                </c:pt>
                <c:pt idx="533">
                  <c:v>6.4691682126980252</c:v>
                </c:pt>
                <c:pt idx="534">
                  <c:v>6.3823505327771128</c:v>
                </c:pt>
                <c:pt idx="535">
                  <c:v>6.236914245833785</c:v>
                </c:pt>
                <c:pt idx="536">
                  <c:v>5.9837622003401734</c:v>
                </c:pt>
                <c:pt idx="537">
                  <c:v>5.9648214200819005</c:v>
                </c:pt>
                <c:pt idx="538">
                  <c:v>6.0195023485908887</c:v>
                </c:pt>
                <c:pt idx="539">
                  <c:v>6.1811732253898288</c:v>
                </c:pt>
                <c:pt idx="540">
                  <c:v>6.3449873908581775</c:v>
                </c:pt>
                <c:pt idx="541">
                  <c:v>6.4949139021689932</c:v>
                </c:pt>
                <c:pt idx="542">
                  <c:v>6.7687049041686063</c:v>
                </c:pt>
                <c:pt idx="543">
                  <c:v>6.9399801798889822</c:v>
                </c:pt>
                <c:pt idx="544">
                  <c:v>7.1410144165920615</c:v>
                </c:pt>
                <c:pt idx="545">
                  <c:v>7.298731730611955</c:v>
                </c:pt>
                <c:pt idx="546">
                  <c:v>7.478942444168486</c:v>
                </c:pt>
                <c:pt idx="547">
                  <c:v>7.5862633550964711</c:v>
                </c:pt>
                <c:pt idx="548">
                  <c:v>7.6998939601616279</c:v>
                </c:pt>
                <c:pt idx="549">
                  <c:v>7.944246901067693</c:v>
                </c:pt>
                <c:pt idx="550">
                  <c:v>8.2719002411582423</c:v>
                </c:pt>
                <c:pt idx="551">
                  <c:v>8.4847883873277397</c:v>
                </c:pt>
                <c:pt idx="552">
                  <c:v>8.674990881462227</c:v>
                </c:pt>
                <c:pt idx="553">
                  <c:v>8.8646683538385425</c:v>
                </c:pt>
                <c:pt idx="554">
                  <c:v>9.0884901944428993</c:v>
                </c:pt>
                <c:pt idx="555">
                  <c:v>9.3473313800237392</c:v>
                </c:pt>
                <c:pt idx="556">
                  <c:v>9.4611683872086356</c:v>
                </c:pt>
                <c:pt idx="557">
                  <c:v>9.4390597493667823</c:v>
                </c:pt>
                <c:pt idx="558">
                  <c:v>9.3222432060605325</c:v>
                </c:pt>
                <c:pt idx="559">
                  <c:v>9.061783168548974</c:v>
                </c:pt>
                <c:pt idx="560">
                  <c:v>8.6997262948554699</c:v>
                </c:pt>
                <c:pt idx="561">
                  <c:v>8.44185693110785</c:v>
                </c:pt>
                <c:pt idx="562">
                  <c:v>8.0627799279038666</c:v>
                </c:pt>
                <c:pt idx="563">
                  <c:v>7.7613855951724835</c:v>
                </c:pt>
                <c:pt idx="564">
                  <c:v>7.6814772061871643</c:v>
                </c:pt>
                <c:pt idx="565">
                  <c:v>7.5482695054137432</c:v>
                </c:pt>
                <c:pt idx="566">
                  <c:v>7.2620635430218066</c:v>
                </c:pt>
                <c:pt idx="567">
                  <c:v>6.5000736483452588</c:v>
                </c:pt>
                <c:pt idx="568">
                  <c:v>5.496835962511188</c:v>
                </c:pt>
                <c:pt idx="569">
                  <c:v>5.0604607343211674</c:v>
                </c:pt>
                <c:pt idx="570">
                  <c:v>4.778808606076959</c:v>
                </c:pt>
                <c:pt idx="571">
                  <c:v>4.4358369762425465</c:v>
                </c:pt>
                <c:pt idx="572">
                  <c:v>4.1618127605103403</c:v>
                </c:pt>
                <c:pt idx="573">
                  <c:v>4.0232823756383267</c:v>
                </c:pt>
                <c:pt idx="574">
                  <c:v>3.8804388320714183</c:v>
                </c:pt>
                <c:pt idx="575">
                  <c:v>3.7540554471361749</c:v>
                </c:pt>
                <c:pt idx="576">
                  <c:v>3.6953953574356588</c:v>
                </c:pt>
                <c:pt idx="577">
                  <c:v>3.7008089389725702</c:v>
                </c:pt>
                <c:pt idx="578">
                  <c:v>3.6741994470075716</c:v>
                </c:pt>
                <c:pt idx="579">
                  <c:v>3.6109043194495798</c:v>
                </c:pt>
                <c:pt idx="580">
                  <c:v>3.6109043194495798</c:v>
                </c:pt>
              </c:numCache>
            </c:numRef>
          </c:val>
          <c:smooth val="0"/>
          <c:extLst>
            <c:ext xmlns:c16="http://schemas.microsoft.com/office/drawing/2014/chart" uri="{C3380CC4-5D6E-409C-BE32-E72D297353CC}">
              <c16:uniqueId val="{00000001-3727-754D-839E-A548E54B23F1}"/>
            </c:ext>
          </c:extLst>
        </c:ser>
        <c:dLbls>
          <c:showLegendKey val="0"/>
          <c:showVal val="0"/>
          <c:showCatName val="0"/>
          <c:showSerName val="0"/>
          <c:showPercent val="0"/>
          <c:showBubbleSize val="0"/>
        </c:dLbls>
        <c:smooth val="0"/>
        <c:axId val="402145152"/>
        <c:axId val="402146864"/>
      </c:lineChart>
      <c:dateAx>
        <c:axId val="402145152"/>
        <c:scaling>
          <c:orientation val="minMax"/>
        </c:scaling>
        <c:delete val="0"/>
        <c:axPos val="b"/>
        <c:numFmt formatCode="[$-1009]mmmm\ d\,\ 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46864"/>
        <c:crosses val="autoZero"/>
        <c:auto val="1"/>
        <c:lblOffset val="100"/>
        <c:baseTimeUnit val="months"/>
      </c:dateAx>
      <c:valAx>
        <c:axId val="402146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45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Actual</a:t>
            </a:r>
            <a:r>
              <a:rPr lang="en-US" baseline="0"/>
              <a:t> VS Forecasted Silver Price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PastPrices!$L$1</c:f>
              <c:strCache>
                <c:ptCount val="1"/>
                <c:pt idx="0">
                  <c:v>Actual Silver Price per gm</c:v>
                </c:pt>
              </c:strCache>
            </c:strRef>
          </c:tx>
          <c:spPr>
            <a:ln w="28575" cap="rnd">
              <a:solidFill>
                <a:schemeClr val="accent1"/>
              </a:solidFill>
              <a:round/>
            </a:ln>
            <a:effectLst/>
          </c:spPr>
          <c:marker>
            <c:symbol val="none"/>
          </c:marker>
          <c:cat>
            <c:numRef>
              <c:f>PastPrices!$J$2:$J$598</c:f>
              <c:numCache>
                <c:formatCode>[$-1009]mmmm\ d\,\ yyyy;@</c:formatCode>
                <c:ptCount val="597"/>
                <c:pt idx="0">
                  <c:v>46203</c:v>
                </c:pt>
                <c:pt idx="1">
                  <c:v>46173</c:v>
                </c:pt>
                <c:pt idx="2">
                  <c:v>46142</c:v>
                </c:pt>
                <c:pt idx="3">
                  <c:v>46112</c:v>
                </c:pt>
                <c:pt idx="4">
                  <c:v>46081</c:v>
                </c:pt>
                <c:pt idx="5">
                  <c:v>46053</c:v>
                </c:pt>
                <c:pt idx="6">
                  <c:v>46022</c:v>
                </c:pt>
                <c:pt idx="7">
                  <c:v>45991</c:v>
                </c:pt>
                <c:pt idx="8">
                  <c:v>45961</c:v>
                </c:pt>
                <c:pt idx="9">
                  <c:v>45930</c:v>
                </c:pt>
                <c:pt idx="10">
                  <c:v>45900</c:v>
                </c:pt>
                <c:pt idx="11">
                  <c:v>45869</c:v>
                </c:pt>
                <c:pt idx="12">
                  <c:v>45870</c:v>
                </c:pt>
                <c:pt idx="13">
                  <c:v>45839</c:v>
                </c:pt>
                <c:pt idx="14">
                  <c:v>45809</c:v>
                </c:pt>
                <c:pt idx="15">
                  <c:v>45778</c:v>
                </c:pt>
                <c:pt idx="16">
                  <c:v>45748</c:v>
                </c:pt>
                <c:pt idx="17">
                  <c:v>45717</c:v>
                </c:pt>
                <c:pt idx="18">
                  <c:v>45689</c:v>
                </c:pt>
                <c:pt idx="19">
                  <c:v>45658</c:v>
                </c:pt>
                <c:pt idx="20">
                  <c:v>45627</c:v>
                </c:pt>
                <c:pt idx="21">
                  <c:v>45597</c:v>
                </c:pt>
                <c:pt idx="22">
                  <c:v>45566</c:v>
                </c:pt>
                <c:pt idx="23">
                  <c:v>45536</c:v>
                </c:pt>
                <c:pt idx="24">
                  <c:v>45505</c:v>
                </c:pt>
                <c:pt idx="25">
                  <c:v>45474</c:v>
                </c:pt>
                <c:pt idx="26">
                  <c:v>45444</c:v>
                </c:pt>
                <c:pt idx="27">
                  <c:v>45413</c:v>
                </c:pt>
                <c:pt idx="28">
                  <c:v>45383</c:v>
                </c:pt>
                <c:pt idx="29">
                  <c:v>45352</c:v>
                </c:pt>
                <c:pt idx="30">
                  <c:v>45323</c:v>
                </c:pt>
                <c:pt idx="31">
                  <c:v>45292</c:v>
                </c:pt>
                <c:pt idx="32">
                  <c:v>45261</c:v>
                </c:pt>
                <c:pt idx="33">
                  <c:v>45231</c:v>
                </c:pt>
                <c:pt idx="34">
                  <c:v>45200</c:v>
                </c:pt>
                <c:pt idx="35">
                  <c:v>45170</c:v>
                </c:pt>
                <c:pt idx="36">
                  <c:v>45139</c:v>
                </c:pt>
                <c:pt idx="37">
                  <c:v>45108</c:v>
                </c:pt>
                <c:pt idx="38">
                  <c:v>45078</c:v>
                </c:pt>
                <c:pt idx="39">
                  <c:v>45047</c:v>
                </c:pt>
                <c:pt idx="40">
                  <c:v>45017</c:v>
                </c:pt>
                <c:pt idx="41">
                  <c:v>44986</c:v>
                </c:pt>
                <c:pt idx="42">
                  <c:v>44958</c:v>
                </c:pt>
                <c:pt idx="43">
                  <c:v>44927</c:v>
                </c:pt>
                <c:pt idx="44">
                  <c:v>44896</c:v>
                </c:pt>
                <c:pt idx="45">
                  <c:v>44866</c:v>
                </c:pt>
                <c:pt idx="46">
                  <c:v>44835</c:v>
                </c:pt>
                <c:pt idx="47">
                  <c:v>44805</c:v>
                </c:pt>
                <c:pt idx="48">
                  <c:v>44774</c:v>
                </c:pt>
                <c:pt idx="49">
                  <c:v>44743</c:v>
                </c:pt>
                <c:pt idx="50">
                  <c:v>44713</c:v>
                </c:pt>
                <c:pt idx="51">
                  <c:v>44682</c:v>
                </c:pt>
                <c:pt idx="52">
                  <c:v>44652</c:v>
                </c:pt>
                <c:pt idx="53">
                  <c:v>44621</c:v>
                </c:pt>
                <c:pt idx="54">
                  <c:v>44593</c:v>
                </c:pt>
                <c:pt idx="55">
                  <c:v>44562</c:v>
                </c:pt>
                <c:pt idx="56">
                  <c:v>44531</c:v>
                </c:pt>
                <c:pt idx="57">
                  <c:v>44501</c:v>
                </c:pt>
                <c:pt idx="58">
                  <c:v>44470</c:v>
                </c:pt>
                <c:pt idx="59">
                  <c:v>44440</c:v>
                </c:pt>
                <c:pt idx="60">
                  <c:v>44409</c:v>
                </c:pt>
                <c:pt idx="61">
                  <c:v>44378</c:v>
                </c:pt>
                <c:pt idx="62">
                  <c:v>44348</c:v>
                </c:pt>
                <c:pt idx="63">
                  <c:v>44317</c:v>
                </c:pt>
                <c:pt idx="64">
                  <c:v>44287</c:v>
                </c:pt>
                <c:pt idx="65">
                  <c:v>44256</c:v>
                </c:pt>
                <c:pt idx="66">
                  <c:v>44228</c:v>
                </c:pt>
                <c:pt idx="67">
                  <c:v>44197</c:v>
                </c:pt>
                <c:pt idx="68">
                  <c:v>44166</c:v>
                </c:pt>
                <c:pt idx="69">
                  <c:v>44136</c:v>
                </c:pt>
                <c:pt idx="70">
                  <c:v>44105</c:v>
                </c:pt>
                <c:pt idx="71">
                  <c:v>44075</c:v>
                </c:pt>
                <c:pt idx="72">
                  <c:v>44044</c:v>
                </c:pt>
                <c:pt idx="73">
                  <c:v>44013</c:v>
                </c:pt>
                <c:pt idx="74">
                  <c:v>43983</c:v>
                </c:pt>
                <c:pt idx="75">
                  <c:v>43952</c:v>
                </c:pt>
                <c:pt idx="76">
                  <c:v>43922</c:v>
                </c:pt>
                <c:pt idx="77">
                  <c:v>43891</c:v>
                </c:pt>
                <c:pt idx="78">
                  <c:v>43862</c:v>
                </c:pt>
                <c:pt idx="79">
                  <c:v>43831</c:v>
                </c:pt>
                <c:pt idx="80">
                  <c:v>43800</c:v>
                </c:pt>
                <c:pt idx="81">
                  <c:v>43770</c:v>
                </c:pt>
                <c:pt idx="82">
                  <c:v>43739</c:v>
                </c:pt>
                <c:pt idx="83">
                  <c:v>43709</c:v>
                </c:pt>
                <c:pt idx="84">
                  <c:v>43678</c:v>
                </c:pt>
                <c:pt idx="85">
                  <c:v>43647</c:v>
                </c:pt>
                <c:pt idx="86">
                  <c:v>43617</c:v>
                </c:pt>
                <c:pt idx="87">
                  <c:v>43586</c:v>
                </c:pt>
                <c:pt idx="88">
                  <c:v>43556</c:v>
                </c:pt>
                <c:pt idx="89">
                  <c:v>43525</c:v>
                </c:pt>
                <c:pt idx="90">
                  <c:v>43497</c:v>
                </c:pt>
                <c:pt idx="91">
                  <c:v>43466</c:v>
                </c:pt>
                <c:pt idx="92">
                  <c:v>43435</c:v>
                </c:pt>
                <c:pt idx="93">
                  <c:v>43405</c:v>
                </c:pt>
                <c:pt idx="94">
                  <c:v>43374</c:v>
                </c:pt>
                <c:pt idx="95">
                  <c:v>43344</c:v>
                </c:pt>
                <c:pt idx="96">
                  <c:v>43313</c:v>
                </c:pt>
                <c:pt idx="97">
                  <c:v>43282</c:v>
                </c:pt>
                <c:pt idx="98">
                  <c:v>43252</c:v>
                </c:pt>
                <c:pt idx="99">
                  <c:v>43221</c:v>
                </c:pt>
                <c:pt idx="100">
                  <c:v>43191</c:v>
                </c:pt>
                <c:pt idx="101">
                  <c:v>43160</c:v>
                </c:pt>
                <c:pt idx="102">
                  <c:v>43132</c:v>
                </c:pt>
                <c:pt idx="103">
                  <c:v>43101</c:v>
                </c:pt>
                <c:pt idx="104">
                  <c:v>43070</c:v>
                </c:pt>
                <c:pt idx="105">
                  <c:v>43040</c:v>
                </c:pt>
                <c:pt idx="106">
                  <c:v>43009</c:v>
                </c:pt>
                <c:pt idx="107">
                  <c:v>42979</c:v>
                </c:pt>
                <c:pt idx="108">
                  <c:v>42948</c:v>
                </c:pt>
                <c:pt idx="109">
                  <c:v>42917</c:v>
                </c:pt>
                <c:pt idx="110">
                  <c:v>42887</c:v>
                </c:pt>
                <c:pt idx="111">
                  <c:v>42856</c:v>
                </c:pt>
                <c:pt idx="112">
                  <c:v>42826</c:v>
                </c:pt>
                <c:pt idx="113">
                  <c:v>42795</c:v>
                </c:pt>
                <c:pt idx="114">
                  <c:v>42767</c:v>
                </c:pt>
                <c:pt idx="115">
                  <c:v>42736</c:v>
                </c:pt>
                <c:pt idx="116">
                  <c:v>42705</c:v>
                </c:pt>
                <c:pt idx="117">
                  <c:v>42675</c:v>
                </c:pt>
                <c:pt idx="118">
                  <c:v>42644</c:v>
                </c:pt>
                <c:pt idx="119">
                  <c:v>42614</c:v>
                </c:pt>
                <c:pt idx="120">
                  <c:v>42583</c:v>
                </c:pt>
                <c:pt idx="121">
                  <c:v>42552</c:v>
                </c:pt>
                <c:pt idx="122">
                  <c:v>42522</c:v>
                </c:pt>
                <c:pt idx="123">
                  <c:v>42491</c:v>
                </c:pt>
                <c:pt idx="124">
                  <c:v>42461</c:v>
                </c:pt>
                <c:pt idx="125">
                  <c:v>42430</c:v>
                </c:pt>
                <c:pt idx="126">
                  <c:v>42401</c:v>
                </c:pt>
                <c:pt idx="127">
                  <c:v>42370</c:v>
                </c:pt>
                <c:pt idx="128">
                  <c:v>42339</c:v>
                </c:pt>
                <c:pt idx="129">
                  <c:v>42309</c:v>
                </c:pt>
                <c:pt idx="130">
                  <c:v>42278</c:v>
                </c:pt>
                <c:pt idx="131">
                  <c:v>42248</c:v>
                </c:pt>
                <c:pt idx="132">
                  <c:v>42217</c:v>
                </c:pt>
                <c:pt idx="133">
                  <c:v>42186</c:v>
                </c:pt>
                <c:pt idx="134">
                  <c:v>42156</c:v>
                </c:pt>
                <c:pt idx="135">
                  <c:v>42125</c:v>
                </c:pt>
                <c:pt idx="136">
                  <c:v>42095</c:v>
                </c:pt>
                <c:pt idx="137">
                  <c:v>42064</c:v>
                </c:pt>
                <c:pt idx="138">
                  <c:v>42036</c:v>
                </c:pt>
                <c:pt idx="139">
                  <c:v>42005</c:v>
                </c:pt>
                <c:pt idx="140">
                  <c:v>41974</c:v>
                </c:pt>
                <c:pt idx="141">
                  <c:v>41944</c:v>
                </c:pt>
                <c:pt idx="142">
                  <c:v>41913</c:v>
                </c:pt>
                <c:pt idx="143">
                  <c:v>41883</c:v>
                </c:pt>
                <c:pt idx="144">
                  <c:v>41852</c:v>
                </c:pt>
                <c:pt idx="145">
                  <c:v>41821</c:v>
                </c:pt>
                <c:pt idx="146">
                  <c:v>41791</c:v>
                </c:pt>
                <c:pt idx="147">
                  <c:v>41760</c:v>
                </c:pt>
                <c:pt idx="148">
                  <c:v>41730</c:v>
                </c:pt>
                <c:pt idx="149">
                  <c:v>41699</c:v>
                </c:pt>
                <c:pt idx="150">
                  <c:v>41671</c:v>
                </c:pt>
                <c:pt idx="151">
                  <c:v>41640</c:v>
                </c:pt>
                <c:pt idx="152">
                  <c:v>41609</c:v>
                </c:pt>
                <c:pt idx="153">
                  <c:v>41579</c:v>
                </c:pt>
                <c:pt idx="154">
                  <c:v>41548</c:v>
                </c:pt>
                <c:pt idx="155">
                  <c:v>41518</c:v>
                </c:pt>
                <c:pt idx="156">
                  <c:v>41487</c:v>
                </c:pt>
                <c:pt idx="157">
                  <c:v>41456</c:v>
                </c:pt>
                <c:pt idx="158">
                  <c:v>41426</c:v>
                </c:pt>
                <c:pt idx="159">
                  <c:v>41426</c:v>
                </c:pt>
                <c:pt idx="160">
                  <c:v>41395</c:v>
                </c:pt>
                <c:pt idx="161">
                  <c:v>41365</c:v>
                </c:pt>
                <c:pt idx="162">
                  <c:v>41334</c:v>
                </c:pt>
                <c:pt idx="163">
                  <c:v>41306</c:v>
                </c:pt>
                <c:pt idx="164">
                  <c:v>41275</c:v>
                </c:pt>
                <c:pt idx="165">
                  <c:v>41244</c:v>
                </c:pt>
                <c:pt idx="166">
                  <c:v>41214</c:v>
                </c:pt>
                <c:pt idx="167">
                  <c:v>41183</c:v>
                </c:pt>
                <c:pt idx="168">
                  <c:v>41153</c:v>
                </c:pt>
                <c:pt idx="169">
                  <c:v>41122</c:v>
                </c:pt>
                <c:pt idx="170">
                  <c:v>41091</c:v>
                </c:pt>
                <c:pt idx="171">
                  <c:v>41061</c:v>
                </c:pt>
                <c:pt idx="172">
                  <c:v>41030</c:v>
                </c:pt>
                <c:pt idx="173">
                  <c:v>41000</c:v>
                </c:pt>
                <c:pt idx="174">
                  <c:v>40969</c:v>
                </c:pt>
                <c:pt idx="175">
                  <c:v>40940</c:v>
                </c:pt>
                <c:pt idx="176">
                  <c:v>40909</c:v>
                </c:pt>
                <c:pt idx="177">
                  <c:v>40878</c:v>
                </c:pt>
                <c:pt idx="178">
                  <c:v>40848</c:v>
                </c:pt>
                <c:pt idx="179">
                  <c:v>40817</c:v>
                </c:pt>
                <c:pt idx="180">
                  <c:v>40787</c:v>
                </c:pt>
                <c:pt idx="181">
                  <c:v>40756</c:v>
                </c:pt>
                <c:pt idx="182">
                  <c:v>40725</c:v>
                </c:pt>
                <c:pt idx="183">
                  <c:v>40695</c:v>
                </c:pt>
                <c:pt idx="184">
                  <c:v>40664</c:v>
                </c:pt>
                <c:pt idx="185">
                  <c:v>40634</c:v>
                </c:pt>
                <c:pt idx="186">
                  <c:v>40603</c:v>
                </c:pt>
                <c:pt idx="187">
                  <c:v>40575</c:v>
                </c:pt>
                <c:pt idx="188">
                  <c:v>40544</c:v>
                </c:pt>
                <c:pt idx="189">
                  <c:v>40513</c:v>
                </c:pt>
                <c:pt idx="190">
                  <c:v>40483</c:v>
                </c:pt>
                <c:pt idx="191">
                  <c:v>40452</c:v>
                </c:pt>
                <c:pt idx="192">
                  <c:v>40422</c:v>
                </c:pt>
                <c:pt idx="193">
                  <c:v>40391</c:v>
                </c:pt>
                <c:pt idx="194">
                  <c:v>40360</c:v>
                </c:pt>
                <c:pt idx="195">
                  <c:v>40330</c:v>
                </c:pt>
                <c:pt idx="196">
                  <c:v>40299</c:v>
                </c:pt>
                <c:pt idx="197">
                  <c:v>40269</c:v>
                </c:pt>
                <c:pt idx="198">
                  <c:v>40238</c:v>
                </c:pt>
                <c:pt idx="199">
                  <c:v>40210</c:v>
                </c:pt>
                <c:pt idx="200">
                  <c:v>40179</c:v>
                </c:pt>
                <c:pt idx="201">
                  <c:v>40148</c:v>
                </c:pt>
                <c:pt idx="202">
                  <c:v>40118</c:v>
                </c:pt>
                <c:pt idx="203">
                  <c:v>40087</c:v>
                </c:pt>
                <c:pt idx="204">
                  <c:v>40057</c:v>
                </c:pt>
                <c:pt idx="205">
                  <c:v>40026</c:v>
                </c:pt>
                <c:pt idx="206">
                  <c:v>39995</c:v>
                </c:pt>
                <c:pt idx="207">
                  <c:v>39965</c:v>
                </c:pt>
                <c:pt idx="208">
                  <c:v>39934</c:v>
                </c:pt>
                <c:pt idx="209">
                  <c:v>39904</c:v>
                </c:pt>
                <c:pt idx="210">
                  <c:v>39873</c:v>
                </c:pt>
              </c:numCache>
            </c:numRef>
          </c:cat>
          <c:val>
            <c:numRef>
              <c:f>PastPrices!$L$2:$L$598</c:f>
              <c:numCache>
                <c:formatCode>General</c:formatCode>
                <c:ptCount val="597"/>
                <c:pt idx="12">
                  <c:v>1.6355812046875755</c:v>
                </c:pt>
                <c:pt idx="13">
                  <c:v>1.5797353995531049</c:v>
                </c:pt>
                <c:pt idx="14">
                  <c:v>1.4572089957721799</c:v>
                </c:pt>
                <c:pt idx="15">
                  <c:v>1.4470943784461556</c:v>
                </c:pt>
                <c:pt idx="16">
                  <c:v>1.5747616827688202</c:v>
                </c:pt>
                <c:pt idx="17">
                  <c:v>1.4449917211889336</c:v>
                </c:pt>
                <c:pt idx="18">
                  <c:v>1.457887376018776</c:v>
                </c:pt>
                <c:pt idx="19">
                  <c:v>1.3350909061681162</c:v>
                </c:pt>
                <c:pt idx="20">
                  <c:v>1.3774301927435819</c:v>
                </c:pt>
                <c:pt idx="21">
                  <c:v>1.4637323773851818</c:v>
                </c:pt>
                <c:pt idx="22">
                  <c:v>1.3546835565129325</c:v>
                </c:pt>
                <c:pt idx="23">
                  <c:v>1.2514347259954668</c:v>
                </c:pt>
                <c:pt idx="24">
                  <c:v>1.288002957866478</c:v>
                </c:pt>
                <c:pt idx="25">
                  <c:v>1.2786374523767421</c:v>
                </c:pt>
                <c:pt idx="26">
                  <c:v>1.3316154130564086</c:v>
                </c:pt>
                <c:pt idx="27">
                  <c:v>1.1650618097641743</c:v>
                </c:pt>
                <c:pt idx="28">
                  <c:v>1.0894015142990339</c:v>
                </c:pt>
                <c:pt idx="29">
                  <c:v>0.9891909270660858</c:v>
                </c:pt>
                <c:pt idx="30">
                  <c:v>0.99671098107929978</c:v>
                </c:pt>
                <c:pt idx="31">
                  <c:v>1.0130210426479336</c:v>
                </c:pt>
                <c:pt idx="32">
                  <c:v>1.1008761071905091</c:v>
                </c:pt>
                <c:pt idx="33">
                  <c:v>1.0205893227450287</c:v>
                </c:pt>
                <c:pt idx="34">
                  <c:v>0.96722233832205373</c:v>
                </c:pt>
                <c:pt idx="35">
                  <c:v>1.0612310511678751</c:v>
                </c:pt>
                <c:pt idx="36">
                  <c:v>1.0492774125098463</c:v>
                </c:pt>
                <c:pt idx="37">
                  <c:v>0.96978796598453543</c:v>
                </c:pt>
                <c:pt idx="38">
                  <c:v>1.0248042824762487</c:v>
                </c:pt>
                <c:pt idx="39">
                  <c:v>1.0906071663960648</c:v>
                </c:pt>
                <c:pt idx="40">
                  <c:v>1.0457826289645862</c:v>
                </c:pt>
                <c:pt idx="41">
                  <c:v>0.91840468114520868</c:v>
                </c:pt>
                <c:pt idx="42">
                  <c:v>1.0140948767823557</c:v>
                </c:pt>
                <c:pt idx="43">
                  <c:v>1.0449660006108636</c:v>
                </c:pt>
                <c:pt idx="44">
                  <c:v>0.9563232433648946</c:v>
                </c:pt>
                <c:pt idx="45">
                  <c:v>0.83932033372450043</c:v>
                </c:pt>
                <c:pt idx="46">
                  <c:v>0.84533251884836114</c:v>
                </c:pt>
                <c:pt idx="47">
                  <c:v>0.7533493015255518</c:v>
                </c:pt>
                <c:pt idx="48">
                  <c:v>0.84105968781648366</c:v>
                </c:pt>
                <c:pt idx="49">
                  <c:v>0.82460816306846496</c:v>
                </c:pt>
                <c:pt idx="50">
                  <c:v>0.88819907727426173</c:v>
                </c:pt>
                <c:pt idx="51">
                  <c:v>0.94001961194077832</c:v>
                </c:pt>
                <c:pt idx="52">
                  <c:v>0.99703248830517466</c:v>
                </c:pt>
                <c:pt idx="53">
                  <c:v>0.99684279904190842</c:v>
                </c:pt>
                <c:pt idx="54">
                  <c:v>0.91826643303808253</c:v>
                </c:pt>
                <c:pt idx="55">
                  <c:v>0.94614110952143649</c:v>
                </c:pt>
                <c:pt idx="56">
                  <c:v>0.93831883871590005</c:v>
                </c:pt>
                <c:pt idx="57">
                  <c:v>0.95156172134968742</c:v>
                </c:pt>
                <c:pt idx="58">
                  <c:v>0.91654958445191048</c:v>
                </c:pt>
                <c:pt idx="59">
                  <c:v>0.97930779494269138</c:v>
                </c:pt>
                <c:pt idx="60">
                  <c:v>1.0226823347854743</c:v>
                </c:pt>
                <c:pt idx="61">
                  <c:v>1.0407156750847975</c:v>
                </c:pt>
                <c:pt idx="62">
                  <c:v>1.0829713697815357</c:v>
                </c:pt>
                <c:pt idx="63">
                  <c:v>1.0242963010593664</c:v>
                </c:pt>
                <c:pt idx="64">
                  <c:v>0.98606909190284053</c:v>
                </c:pt>
                <c:pt idx="65">
                  <c:v>1.0897198064526501</c:v>
                </c:pt>
                <c:pt idx="66">
                  <c:v>1.1102223222466925</c:v>
                </c:pt>
                <c:pt idx="67">
                  <c:v>1.0797723728840805</c:v>
                </c:pt>
                <c:pt idx="68">
                  <c:v>0.94619898082209397</c:v>
                </c:pt>
                <c:pt idx="69">
                  <c:v>1.0127156107833524</c:v>
                </c:pt>
                <c:pt idx="70">
                  <c:v>1.0169305705145724</c:v>
                </c:pt>
                <c:pt idx="71">
                  <c:v>1.1813011397431159</c:v>
                </c:pt>
                <c:pt idx="72">
                  <c:v>1.0519266320510554</c:v>
                </c:pt>
                <c:pt idx="73">
                  <c:v>0.78651598694680658</c:v>
                </c:pt>
                <c:pt idx="74">
                  <c:v>0.79882649862555655</c:v>
                </c:pt>
                <c:pt idx="75">
                  <c:v>0.67710064783706003</c:v>
                </c:pt>
                <c:pt idx="76">
                  <c:v>0.63201890462488153</c:v>
                </c:pt>
                <c:pt idx="77">
                  <c:v>0.71955889208609969</c:v>
                </c:pt>
                <c:pt idx="78">
                  <c:v>0.7683572588293921</c:v>
                </c:pt>
                <c:pt idx="79">
                  <c:v>0.74557847187615545</c:v>
                </c:pt>
                <c:pt idx="80">
                  <c:v>0.72705965566576114</c:v>
                </c:pt>
                <c:pt idx="81">
                  <c:v>0.7662610317166878</c:v>
                </c:pt>
                <c:pt idx="82">
                  <c:v>0.73267317182953684</c:v>
                </c:pt>
                <c:pt idx="83">
                  <c:v>0.78673782693266037</c:v>
                </c:pt>
                <c:pt idx="84">
                  <c:v>0.69378365778770879</c:v>
                </c:pt>
                <c:pt idx="85">
                  <c:v>0.6395743244329416</c:v>
                </c:pt>
                <c:pt idx="86">
                  <c:v>0.6338322053788159</c:v>
                </c:pt>
                <c:pt idx="87">
                  <c:v>0.63425659491697073</c:v>
                </c:pt>
                <c:pt idx="88">
                  <c:v>0.65023871911521203</c:v>
                </c:pt>
                <c:pt idx="89">
                  <c:v>0.65941132026942306</c:v>
                </c:pt>
                <c:pt idx="90">
                  <c:v>0.67612969601491801</c:v>
                </c:pt>
                <c:pt idx="91">
                  <c:v>0.67902326104779209</c:v>
                </c:pt>
                <c:pt idx="92">
                  <c:v>0.60604112077418948</c:v>
                </c:pt>
                <c:pt idx="93">
                  <c:v>0.60346906296719016</c:v>
                </c:pt>
                <c:pt idx="94">
                  <c:v>0.59736042567556702</c:v>
                </c:pt>
                <c:pt idx="95">
                  <c:v>0.60989920748468818</c:v>
                </c:pt>
                <c:pt idx="96">
                  <c:v>0.6430144517498031</c:v>
                </c:pt>
                <c:pt idx="97">
                  <c:v>0.6803092899512917</c:v>
                </c:pt>
                <c:pt idx="98">
                  <c:v>0.68255984053241592</c:v>
                </c:pt>
                <c:pt idx="99">
                  <c:v>0.66648447923867093</c:v>
                </c:pt>
                <c:pt idx="100">
                  <c:v>0.67805873937016736</c:v>
                </c:pt>
                <c:pt idx="101">
                  <c:v>0.67709421769254263</c:v>
                </c:pt>
                <c:pt idx="102">
                  <c:v>0.68641792724291484</c:v>
                </c:pt>
                <c:pt idx="103">
                  <c:v>0.68545340556529011</c:v>
                </c:pt>
                <c:pt idx="104">
                  <c:v>0.67998778272541671</c:v>
                </c:pt>
                <c:pt idx="105">
                  <c:v>0.69316957898628762</c:v>
                </c:pt>
                <c:pt idx="106">
                  <c:v>0.66777050814217043</c:v>
                </c:pt>
                <c:pt idx="107">
                  <c:v>0.70602986802128376</c:v>
                </c:pt>
                <c:pt idx="108">
                  <c:v>0.6748436671114183</c:v>
                </c:pt>
                <c:pt idx="109">
                  <c:v>0.69252656453453787</c:v>
                </c:pt>
                <c:pt idx="110">
                  <c:v>0.75168389409551972</c:v>
                </c:pt>
                <c:pt idx="111">
                  <c:v>0.74171717009339788</c:v>
                </c:pt>
                <c:pt idx="112">
                  <c:v>0.78061954442426096</c:v>
                </c:pt>
                <c:pt idx="113">
                  <c:v>0.78222708055363543</c:v>
                </c:pt>
                <c:pt idx="114">
                  <c:v>0.73593004002764961</c:v>
                </c:pt>
                <c:pt idx="115">
                  <c:v>0.68866847782403917</c:v>
                </c:pt>
                <c:pt idx="116">
                  <c:v>0.71406754866815636</c:v>
                </c:pt>
                <c:pt idx="117">
                  <c:v>0.77129583487388875</c:v>
                </c:pt>
                <c:pt idx="118">
                  <c:v>0.80955519475300208</c:v>
                </c:pt>
                <c:pt idx="119">
                  <c:v>0.79637339849213107</c:v>
                </c:pt>
                <c:pt idx="120">
                  <c:v>0.86260388702236079</c:v>
                </c:pt>
                <c:pt idx="121">
                  <c:v>0.82080794765862364</c:v>
                </c:pt>
                <c:pt idx="122">
                  <c:v>0.67098558040091949</c:v>
                </c:pt>
                <c:pt idx="123">
                  <c:v>0.71921166428215477</c:v>
                </c:pt>
                <c:pt idx="124">
                  <c:v>0.64558650955680219</c:v>
                </c:pt>
                <c:pt idx="125">
                  <c:v>0.64944459626730111</c:v>
                </c:pt>
                <c:pt idx="126">
                  <c:v>0.64108540839455375</c:v>
                </c:pt>
                <c:pt idx="127">
                  <c:v>0.61568633755043645</c:v>
                </c:pt>
                <c:pt idx="128">
                  <c:v>0.60443358464481489</c:v>
                </c:pt>
                <c:pt idx="129">
                  <c:v>0.65394569742954967</c:v>
                </c:pt>
                <c:pt idx="130">
                  <c:v>0.6189014098091854</c:v>
                </c:pt>
                <c:pt idx="131">
                  <c:v>0.62308100374555919</c:v>
                </c:pt>
                <c:pt idx="132">
                  <c:v>0.6256530615525584</c:v>
                </c:pt>
                <c:pt idx="133">
                  <c:v>0.62918964103718233</c:v>
                </c:pt>
                <c:pt idx="134">
                  <c:v>0.6748436671114183</c:v>
                </c:pt>
                <c:pt idx="135">
                  <c:v>0.6324047132959314</c:v>
                </c:pt>
                <c:pt idx="136">
                  <c:v>0.67902326104779209</c:v>
                </c:pt>
                <c:pt idx="137">
                  <c:v>0.66584146478692108</c:v>
                </c:pt>
                <c:pt idx="138">
                  <c:v>0.70570836079540888</c:v>
                </c:pt>
                <c:pt idx="139">
                  <c:v>0.58642917999582034</c:v>
                </c:pt>
                <c:pt idx="140">
                  <c:v>0.56713874644332629</c:v>
                </c:pt>
                <c:pt idx="141">
                  <c:v>0.58675068722169532</c:v>
                </c:pt>
                <c:pt idx="142">
                  <c:v>0.61665085922806118</c:v>
                </c:pt>
                <c:pt idx="143">
                  <c:v>0.68063079717716657</c:v>
                </c:pt>
                <c:pt idx="144">
                  <c:v>0.7121385053129069</c:v>
                </c:pt>
                <c:pt idx="145">
                  <c:v>0.71889015705627979</c:v>
                </c:pt>
                <c:pt idx="146">
                  <c:v>0.65362419020367479</c:v>
                </c:pt>
                <c:pt idx="147">
                  <c:v>0.67066407317504462</c:v>
                </c:pt>
                <c:pt idx="148">
                  <c:v>0.70185027408490996</c:v>
                </c:pt>
                <c:pt idx="149">
                  <c:v>0.75650650248364337</c:v>
                </c:pt>
                <c:pt idx="150">
                  <c:v>0.68513189833941512</c:v>
                </c:pt>
                <c:pt idx="151">
                  <c:v>0.66391242143167162</c:v>
                </c:pt>
                <c:pt idx="152">
                  <c:v>0.68127381162891643</c:v>
                </c:pt>
                <c:pt idx="153">
                  <c:v>0.73432250389827514</c:v>
                </c:pt>
                <c:pt idx="154">
                  <c:v>0.70281479576253469</c:v>
                </c:pt>
                <c:pt idx="155">
                  <c:v>0.79573038404038132</c:v>
                </c:pt>
                <c:pt idx="156">
                  <c:v>0.65298117575192494</c:v>
                </c:pt>
                <c:pt idx="157">
                  <c:v>0.66166187085054728</c:v>
                </c:pt>
                <c:pt idx="158">
                  <c:v>0.7134245342164065</c:v>
                </c:pt>
                <c:pt idx="159">
                  <c:v>0.74172681531017404</c:v>
                </c:pt>
                <c:pt idx="160">
                  <c:v>0.78789846801806862</c:v>
                </c:pt>
                <c:pt idx="161">
                  <c:v>0.93999067629044952</c:v>
                </c:pt>
                <c:pt idx="162">
                  <c:v>0.94519266320510553</c:v>
                </c:pt>
                <c:pt idx="163">
                  <c:v>1.0086131785811887</c:v>
                </c:pt>
                <c:pt idx="164">
                  <c:v>0.96813863391579724</c:v>
                </c:pt>
                <c:pt idx="165">
                  <c:v>1.0648865883260725</c:v>
                </c:pt>
                <c:pt idx="166">
                  <c:v>1.0370183419872361</c:v>
                </c:pt>
                <c:pt idx="167">
                  <c:v>1.091230890414262</c:v>
                </c:pt>
                <c:pt idx="168">
                  <c:v>1.0070988795473179</c:v>
                </c:pt>
                <c:pt idx="169">
                  <c:v>0.89884418152297973</c:v>
                </c:pt>
                <c:pt idx="170">
                  <c:v>0.89763852942594879</c:v>
                </c:pt>
                <c:pt idx="171">
                  <c:v>0.92133039690067031</c:v>
                </c:pt>
                <c:pt idx="172">
                  <c:v>0.98361599176941505</c:v>
                </c:pt>
                <c:pt idx="173">
                  <c:v>1.0494092304724549</c:v>
                </c:pt>
                <c:pt idx="174">
                  <c:v>1.099763692188982</c:v>
                </c:pt>
                <c:pt idx="175">
                  <c:v>1.0677094217692542</c:v>
                </c:pt>
                <c:pt idx="176">
                  <c:v>0.90933817737553646</c:v>
                </c:pt>
                <c:pt idx="177">
                  <c:v>1.0738309193499125</c:v>
                </c:pt>
                <c:pt idx="178">
                  <c:v>1.0999694568135419</c:v>
                </c:pt>
                <c:pt idx="179">
                  <c:v>1.0074493224235215</c:v>
                </c:pt>
                <c:pt idx="180">
                  <c:v>1.3042262124841257</c:v>
                </c:pt>
                <c:pt idx="181">
                  <c:v>1.2233992958991753</c:v>
                </c:pt>
                <c:pt idx="182">
                  <c:v>1.0736958863150448</c:v>
                </c:pt>
                <c:pt idx="183">
                  <c:v>1.1973154146639444</c:v>
                </c:pt>
                <c:pt idx="184">
                  <c:v>1.4530486922693586</c:v>
                </c:pt>
                <c:pt idx="185">
                  <c:v>1.1723600237915348</c:v>
                </c:pt>
                <c:pt idx="186">
                  <c:v>1.0571157586766764</c:v>
                </c:pt>
                <c:pt idx="187">
                  <c:v>0.90311379748259846</c:v>
                </c:pt>
                <c:pt idx="188">
                  <c:v>0.98799170511357248</c:v>
                </c:pt>
                <c:pt idx="189">
                  <c:v>0.92722683942321604</c:v>
                </c:pt>
                <c:pt idx="190">
                  <c:v>0.80826916584950248</c:v>
                </c:pt>
                <c:pt idx="191">
                  <c:v>0.71921166428215477</c:v>
                </c:pt>
                <c:pt idx="192">
                  <c:v>0.66359091420579674</c:v>
                </c:pt>
                <c:pt idx="193">
                  <c:v>0.59607439677206742</c:v>
                </c:pt>
                <c:pt idx="194">
                  <c:v>0.63561978555468035</c:v>
                </c:pt>
                <c:pt idx="195">
                  <c:v>0.62211648206793446</c:v>
                </c:pt>
                <c:pt idx="196">
                  <c:v>0.60861317858118857</c:v>
                </c:pt>
                <c:pt idx="197">
                  <c:v>0.57196135483144983</c:v>
                </c:pt>
                <c:pt idx="198">
                  <c:v>0.55813654411882907</c:v>
                </c:pt>
                <c:pt idx="199">
                  <c:v>0.55685051521532947</c:v>
                </c:pt>
                <c:pt idx="200">
                  <c:v>0.57163984760557496</c:v>
                </c:pt>
                <c:pt idx="201">
                  <c:v>0.626939090456058</c:v>
                </c:pt>
                <c:pt idx="202">
                  <c:v>0.56842477534682589</c:v>
                </c:pt>
                <c:pt idx="203">
                  <c:v>0.57131834037969997</c:v>
                </c:pt>
                <c:pt idx="204">
                  <c:v>0.52534280707958914</c:v>
                </c:pt>
                <c:pt idx="205">
                  <c:v>0.48193933158647739</c:v>
                </c:pt>
                <c:pt idx="206">
                  <c:v>0.50862443133409418</c:v>
                </c:pt>
                <c:pt idx="207">
                  <c:v>0.55299242850483066</c:v>
                </c:pt>
                <c:pt idx="208">
                  <c:v>0.47518767984310445</c:v>
                </c:pt>
                <c:pt idx="209">
                  <c:v>0.52630732875721387</c:v>
                </c:pt>
                <c:pt idx="210">
                  <c:v>0.53788158888871029</c:v>
                </c:pt>
              </c:numCache>
            </c:numRef>
          </c:val>
          <c:smooth val="0"/>
          <c:extLst>
            <c:ext xmlns:c16="http://schemas.microsoft.com/office/drawing/2014/chart" uri="{C3380CC4-5D6E-409C-BE32-E72D297353CC}">
              <c16:uniqueId val="{00000000-6FC6-A14D-B703-25A6F3A723A9}"/>
            </c:ext>
          </c:extLst>
        </c:ser>
        <c:ser>
          <c:idx val="1"/>
          <c:order val="1"/>
          <c:tx>
            <c:strRef>
              <c:f>PastPrices!$M$1</c:f>
              <c:strCache>
                <c:ptCount val="1"/>
                <c:pt idx="0">
                  <c:v>Forecasted Silver Price</c:v>
                </c:pt>
              </c:strCache>
            </c:strRef>
          </c:tx>
          <c:spPr>
            <a:ln w="28575" cap="rnd">
              <a:solidFill>
                <a:schemeClr val="accent2"/>
              </a:solidFill>
              <a:round/>
            </a:ln>
            <a:effectLst/>
          </c:spPr>
          <c:marker>
            <c:symbol val="none"/>
          </c:marker>
          <c:cat>
            <c:numRef>
              <c:f>PastPrices!$J$2:$J$598</c:f>
              <c:numCache>
                <c:formatCode>[$-1009]mmmm\ d\,\ yyyy;@</c:formatCode>
                <c:ptCount val="597"/>
                <c:pt idx="0">
                  <c:v>46203</c:v>
                </c:pt>
                <c:pt idx="1">
                  <c:v>46173</c:v>
                </c:pt>
                <c:pt idx="2">
                  <c:v>46142</c:v>
                </c:pt>
                <c:pt idx="3">
                  <c:v>46112</c:v>
                </c:pt>
                <c:pt idx="4">
                  <c:v>46081</c:v>
                </c:pt>
                <c:pt idx="5">
                  <c:v>46053</c:v>
                </c:pt>
                <c:pt idx="6">
                  <c:v>46022</c:v>
                </c:pt>
                <c:pt idx="7">
                  <c:v>45991</c:v>
                </c:pt>
                <c:pt idx="8">
                  <c:v>45961</c:v>
                </c:pt>
                <c:pt idx="9">
                  <c:v>45930</c:v>
                </c:pt>
                <c:pt idx="10">
                  <c:v>45900</c:v>
                </c:pt>
                <c:pt idx="11">
                  <c:v>45869</c:v>
                </c:pt>
                <c:pt idx="12">
                  <c:v>45870</c:v>
                </c:pt>
                <c:pt idx="13">
                  <c:v>45839</c:v>
                </c:pt>
                <c:pt idx="14">
                  <c:v>45809</c:v>
                </c:pt>
                <c:pt idx="15">
                  <c:v>45778</c:v>
                </c:pt>
                <c:pt idx="16">
                  <c:v>45748</c:v>
                </c:pt>
                <c:pt idx="17">
                  <c:v>45717</c:v>
                </c:pt>
                <c:pt idx="18">
                  <c:v>45689</c:v>
                </c:pt>
                <c:pt idx="19">
                  <c:v>45658</c:v>
                </c:pt>
                <c:pt idx="20">
                  <c:v>45627</c:v>
                </c:pt>
                <c:pt idx="21">
                  <c:v>45597</c:v>
                </c:pt>
                <c:pt idx="22">
                  <c:v>45566</c:v>
                </c:pt>
                <c:pt idx="23">
                  <c:v>45536</c:v>
                </c:pt>
                <c:pt idx="24">
                  <c:v>45505</c:v>
                </c:pt>
                <c:pt idx="25">
                  <c:v>45474</c:v>
                </c:pt>
                <c:pt idx="26">
                  <c:v>45444</c:v>
                </c:pt>
                <c:pt idx="27">
                  <c:v>45413</c:v>
                </c:pt>
                <c:pt idx="28">
                  <c:v>45383</c:v>
                </c:pt>
                <c:pt idx="29">
                  <c:v>45352</c:v>
                </c:pt>
                <c:pt idx="30">
                  <c:v>45323</c:v>
                </c:pt>
                <c:pt idx="31">
                  <c:v>45292</c:v>
                </c:pt>
                <c:pt idx="32">
                  <c:v>45261</c:v>
                </c:pt>
                <c:pt idx="33">
                  <c:v>45231</c:v>
                </c:pt>
                <c:pt idx="34">
                  <c:v>45200</c:v>
                </c:pt>
                <c:pt idx="35">
                  <c:v>45170</c:v>
                </c:pt>
                <c:pt idx="36">
                  <c:v>45139</c:v>
                </c:pt>
                <c:pt idx="37">
                  <c:v>45108</c:v>
                </c:pt>
                <c:pt idx="38">
                  <c:v>45078</c:v>
                </c:pt>
                <c:pt idx="39">
                  <c:v>45047</c:v>
                </c:pt>
                <c:pt idx="40">
                  <c:v>45017</c:v>
                </c:pt>
                <c:pt idx="41">
                  <c:v>44986</c:v>
                </c:pt>
                <c:pt idx="42">
                  <c:v>44958</c:v>
                </c:pt>
                <c:pt idx="43">
                  <c:v>44927</c:v>
                </c:pt>
                <c:pt idx="44">
                  <c:v>44896</c:v>
                </c:pt>
                <c:pt idx="45">
                  <c:v>44866</c:v>
                </c:pt>
                <c:pt idx="46">
                  <c:v>44835</c:v>
                </c:pt>
                <c:pt idx="47">
                  <c:v>44805</c:v>
                </c:pt>
                <c:pt idx="48">
                  <c:v>44774</c:v>
                </c:pt>
                <c:pt idx="49">
                  <c:v>44743</c:v>
                </c:pt>
                <c:pt idx="50">
                  <c:v>44713</c:v>
                </c:pt>
                <c:pt idx="51">
                  <c:v>44682</c:v>
                </c:pt>
                <c:pt idx="52">
                  <c:v>44652</c:v>
                </c:pt>
                <c:pt idx="53">
                  <c:v>44621</c:v>
                </c:pt>
                <c:pt idx="54">
                  <c:v>44593</c:v>
                </c:pt>
                <c:pt idx="55">
                  <c:v>44562</c:v>
                </c:pt>
                <c:pt idx="56">
                  <c:v>44531</c:v>
                </c:pt>
                <c:pt idx="57">
                  <c:v>44501</c:v>
                </c:pt>
                <c:pt idx="58">
                  <c:v>44470</c:v>
                </c:pt>
                <c:pt idx="59">
                  <c:v>44440</c:v>
                </c:pt>
                <c:pt idx="60">
                  <c:v>44409</c:v>
                </c:pt>
                <c:pt idx="61">
                  <c:v>44378</c:v>
                </c:pt>
                <c:pt idx="62">
                  <c:v>44348</c:v>
                </c:pt>
                <c:pt idx="63">
                  <c:v>44317</c:v>
                </c:pt>
                <c:pt idx="64">
                  <c:v>44287</c:v>
                </c:pt>
                <c:pt idx="65">
                  <c:v>44256</c:v>
                </c:pt>
                <c:pt idx="66">
                  <c:v>44228</c:v>
                </c:pt>
                <c:pt idx="67">
                  <c:v>44197</c:v>
                </c:pt>
                <c:pt idx="68">
                  <c:v>44166</c:v>
                </c:pt>
                <c:pt idx="69">
                  <c:v>44136</c:v>
                </c:pt>
                <c:pt idx="70">
                  <c:v>44105</c:v>
                </c:pt>
                <c:pt idx="71">
                  <c:v>44075</c:v>
                </c:pt>
                <c:pt idx="72">
                  <c:v>44044</c:v>
                </c:pt>
                <c:pt idx="73">
                  <c:v>44013</c:v>
                </c:pt>
                <c:pt idx="74">
                  <c:v>43983</c:v>
                </c:pt>
                <c:pt idx="75">
                  <c:v>43952</c:v>
                </c:pt>
                <c:pt idx="76">
                  <c:v>43922</c:v>
                </c:pt>
                <c:pt idx="77">
                  <c:v>43891</c:v>
                </c:pt>
                <c:pt idx="78">
                  <c:v>43862</c:v>
                </c:pt>
                <c:pt idx="79">
                  <c:v>43831</c:v>
                </c:pt>
                <c:pt idx="80">
                  <c:v>43800</c:v>
                </c:pt>
                <c:pt idx="81">
                  <c:v>43770</c:v>
                </c:pt>
                <c:pt idx="82">
                  <c:v>43739</c:v>
                </c:pt>
                <c:pt idx="83">
                  <c:v>43709</c:v>
                </c:pt>
                <c:pt idx="84">
                  <c:v>43678</c:v>
                </c:pt>
                <c:pt idx="85">
                  <c:v>43647</c:v>
                </c:pt>
                <c:pt idx="86">
                  <c:v>43617</c:v>
                </c:pt>
                <c:pt idx="87">
                  <c:v>43586</c:v>
                </c:pt>
                <c:pt idx="88">
                  <c:v>43556</c:v>
                </c:pt>
                <c:pt idx="89">
                  <c:v>43525</c:v>
                </c:pt>
                <c:pt idx="90">
                  <c:v>43497</c:v>
                </c:pt>
                <c:pt idx="91">
                  <c:v>43466</c:v>
                </c:pt>
                <c:pt idx="92">
                  <c:v>43435</c:v>
                </c:pt>
                <c:pt idx="93">
                  <c:v>43405</c:v>
                </c:pt>
                <c:pt idx="94">
                  <c:v>43374</c:v>
                </c:pt>
                <c:pt idx="95">
                  <c:v>43344</c:v>
                </c:pt>
                <c:pt idx="96">
                  <c:v>43313</c:v>
                </c:pt>
                <c:pt idx="97">
                  <c:v>43282</c:v>
                </c:pt>
                <c:pt idx="98">
                  <c:v>43252</c:v>
                </c:pt>
                <c:pt idx="99">
                  <c:v>43221</c:v>
                </c:pt>
                <c:pt idx="100">
                  <c:v>43191</c:v>
                </c:pt>
                <c:pt idx="101">
                  <c:v>43160</c:v>
                </c:pt>
                <c:pt idx="102">
                  <c:v>43132</c:v>
                </c:pt>
                <c:pt idx="103">
                  <c:v>43101</c:v>
                </c:pt>
                <c:pt idx="104">
                  <c:v>43070</c:v>
                </c:pt>
                <c:pt idx="105">
                  <c:v>43040</c:v>
                </c:pt>
                <c:pt idx="106">
                  <c:v>43009</c:v>
                </c:pt>
                <c:pt idx="107">
                  <c:v>42979</c:v>
                </c:pt>
                <c:pt idx="108">
                  <c:v>42948</c:v>
                </c:pt>
                <c:pt idx="109">
                  <c:v>42917</c:v>
                </c:pt>
                <c:pt idx="110">
                  <c:v>42887</c:v>
                </c:pt>
                <c:pt idx="111">
                  <c:v>42856</c:v>
                </c:pt>
                <c:pt idx="112">
                  <c:v>42826</c:v>
                </c:pt>
                <c:pt idx="113">
                  <c:v>42795</c:v>
                </c:pt>
                <c:pt idx="114">
                  <c:v>42767</c:v>
                </c:pt>
                <c:pt idx="115">
                  <c:v>42736</c:v>
                </c:pt>
                <c:pt idx="116">
                  <c:v>42705</c:v>
                </c:pt>
                <c:pt idx="117">
                  <c:v>42675</c:v>
                </c:pt>
                <c:pt idx="118">
                  <c:v>42644</c:v>
                </c:pt>
                <c:pt idx="119">
                  <c:v>42614</c:v>
                </c:pt>
                <c:pt idx="120">
                  <c:v>42583</c:v>
                </c:pt>
                <c:pt idx="121">
                  <c:v>42552</c:v>
                </c:pt>
                <c:pt idx="122">
                  <c:v>42522</c:v>
                </c:pt>
                <c:pt idx="123">
                  <c:v>42491</c:v>
                </c:pt>
                <c:pt idx="124">
                  <c:v>42461</c:v>
                </c:pt>
                <c:pt idx="125">
                  <c:v>42430</c:v>
                </c:pt>
                <c:pt idx="126">
                  <c:v>42401</c:v>
                </c:pt>
                <c:pt idx="127">
                  <c:v>42370</c:v>
                </c:pt>
                <c:pt idx="128">
                  <c:v>42339</c:v>
                </c:pt>
                <c:pt idx="129">
                  <c:v>42309</c:v>
                </c:pt>
                <c:pt idx="130">
                  <c:v>42278</c:v>
                </c:pt>
                <c:pt idx="131">
                  <c:v>42248</c:v>
                </c:pt>
                <c:pt idx="132">
                  <c:v>42217</c:v>
                </c:pt>
                <c:pt idx="133">
                  <c:v>42186</c:v>
                </c:pt>
                <c:pt idx="134">
                  <c:v>42156</c:v>
                </c:pt>
                <c:pt idx="135">
                  <c:v>42125</c:v>
                </c:pt>
                <c:pt idx="136">
                  <c:v>42095</c:v>
                </c:pt>
                <c:pt idx="137">
                  <c:v>42064</c:v>
                </c:pt>
                <c:pt idx="138">
                  <c:v>42036</c:v>
                </c:pt>
                <c:pt idx="139">
                  <c:v>42005</c:v>
                </c:pt>
                <c:pt idx="140">
                  <c:v>41974</c:v>
                </c:pt>
                <c:pt idx="141">
                  <c:v>41944</c:v>
                </c:pt>
                <c:pt idx="142">
                  <c:v>41913</c:v>
                </c:pt>
                <c:pt idx="143">
                  <c:v>41883</c:v>
                </c:pt>
                <c:pt idx="144">
                  <c:v>41852</c:v>
                </c:pt>
                <c:pt idx="145">
                  <c:v>41821</c:v>
                </c:pt>
                <c:pt idx="146">
                  <c:v>41791</c:v>
                </c:pt>
                <c:pt idx="147">
                  <c:v>41760</c:v>
                </c:pt>
                <c:pt idx="148">
                  <c:v>41730</c:v>
                </c:pt>
                <c:pt idx="149">
                  <c:v>41699</c:v>
                </c:pt>
                <c:pt idx="150">
                  <c:v>41671</c:v>
                </c:pt>
                <c:pt idx="151">
                  <c:v>41640</c:v>
                </c:pt>
                <c:pt idx="152">
                  <c:v>41609</c:v>
                </c:pt>
                <c:pt idx="153">
                  <c:v>41579</c:v>
                </c:pt>
                <c:pt idx="154">
                  <c:v>41548</c:v>
                </c:pt>
                <c:pt idx="155">
                  <c:v>41518</c:v>
                </c:pt>
                <c:pt idx="156">
                  <c:v>41487</c:v>
                </c:pt>
                <c:pt idx="157">
                  <c:v>41456</c:v>
                </c:pt>
                <c:pt idx="158">
                  <c:v>41426</c:v>
                </c:pt>
                <c:pt idx="159">
                  <c:v>41426</c:v>
                </c:pt>
                <c:pt idx="160">
                  <c:v>41395</c:v>
                </c:pt>
                <c:pt idx="161">
                  <c:v>41365</c:v>
                </c:pt>
                <c:pt idx="162">
                  <c:v>41334</c:v>
                </c:pt>
                <c:pt idx="163">
                  <c:v>41306</c:v>
                </c:pt>
                <c:pt idx="164">
                  <c:v>41275</c:v>
                </c:pt>
                <c:pt idx="165">
                  <c:v>41244</c:v>
                </c:pt>
                <c:pt idx="166">
                  <c:v>41214</c:v>
                </c:pt>
                <c:pt idx="167">
                  <c:v>41183</c:v>
                </c:pt>
                <c:pt idx="168">
                  <c:v>41153</c:v>
                </c:pt>
                <c:pt idx="169">
                  <c:v>41122</c:v>
                </c:pt>
                <c:pt idx="170">
                  <c:v>41091</c:v>
                </c:pt>
                <c:pt idx="171">
                  <c:v>41061</c:v>
                </c:pt>
                <c:pt idx="172">
                  <c:v>41030</c:v>
                </c:pt>
                <c:pt idx="173">
                  <c:v>41000</c:v>
                </c:pt>
                <c:pt idx="174">
                  <c:v>40969</c:v>
                </c:pt>
                <c:pt idx="175">
                  <c:v>40940</c:v>
                </c:pt>
                <c:pt idx="176">
                  <c:v>40909</c:v>
                </c:pt>
                <c:pt idx="177">
                  <c:v>40878</c:v>
                </c:pt>
                <c:pt idx="178">
                  <c:v>40848</c:v>
                </c:pt>
                <c:pt idx="179">
                  <c:v>40817</c:v>
                </c:pt>
                <c:pt idx="180">
                  <c:v>40787</c:v>
                </c:pt>
                <c:pt idx="181">
                  <c:v>40756</c:v>
                </c:pt>
                <c:pt idx="182">
                  <c:v>40725</c:v>
                </c:pt>
                <c:pt idx="183">
                  <c:v>40695</c:v>
                </c:pt>
                <c:pt idx="184">
                  <c:v>40664</c:v>
                </c:pt>
                <c:pt idx="185">
                  <c:v>40634</c:v>
                </c:pt>
                <c:pt idx="186">
                  <c:v>40603</c:v>
                </c:pt>
                <c:pt idx="187">
                  <c:v>40575</c:v>
                </c:pt>
                <c:pt idx="188">
                  <c:v>40544</c:v>
                </c:pt>
                <c:pt idx="189">
                  <c:v>40513</c:v>
                </c:pt>
                <c:pt idx="190">
                  <c:v>40483</c:v>
                </c:pt>
                <c:pt idx="191">
                  <c:v>40452</c:v>
                </c:pt>
                <c:pt idx="192">
                  <c:v>40422</c:v>
                </c:pt>
                <c:pt idx="193">
                  <c:v>40391</c:v>
                </c:pt>
                <c:pt idx="194">
                  <c:v>40360</c:v>
                </c:pt>
                <c:pt idx="195">
                  <c:v>40330</c:v>
                </c:pt>
                <c:pt idx="196">
                  <c:v>40299</c:v>
                </c:pt>
                <c:pt idx="197">
                  <c:v>40269</c:v>
                </c:pt>
                <c:pt idx="198">
                  <c:v>40238</c:v>
                </c:pt>
                <c:pt idx="199">
                  <c:v>40210</c:v>
                </c:pt>
                <c:pt idx="200">
                  <c:v>40179</c:v>
                </c:pt>
                <c:pt idx="201">
                  <c:v>40148</c:v>
                </c:pt>
                <c:pt idx="202">
                  <c:v>40118</c:v>
                </c:pt>
                <c:pt idx="203">
                  <c:v>40087</c:v>
                </c:pt>
                <c:pt idx="204">
                  <c:v>40057</c:v>
                </c:pt>
                <c:pt idx="205">
                  <c:v>40026</c:v>
                </c:pt>
                <c:pt idx="206">
                  <c:v>39995</c:v>
                </c:pt>
                <c:pt idx="207">
                  <c:v>39965</c:v>
                </c:pt>
                <c:pt idx="208">
                  <c:v>39934</c:v>
                </c:pt>
                <c:pt idx="209">
                  <c:v>39904</c:v>
                </c:pt>
                <c:pt idx="210">
                  <c:v>39873</c:v>
                </c:pt>
              </c:numCache>
            </c:numRef>
          </c:cat>
          <c:val>
            <c:numRef>
              <c:f>PastPrices!$M$2:$M$598</c:f>
              <c:numCache>
                <c:formatCode>General</c:formatCode>
                <c:ptCount val="597"/>
                <c:pt idx="0">
                  <c:v>1.6228531264457065</c:v>
                </c:pt>
                <c:pt idx="1">
                  <c:v>1.6196711068852392</c:v>
                </c:pt>
                <c:pt idx="2">
                  <c:v>1.615693582434655</c:v>
                </c:pt>
                <c:pt idx="3">
                  <c:v>1.6107216768714245</c:v>
                </c:pt>
                <c:pt idx="4">
                  <c:v>1.6045067949173868</c:v>
                </c:pt>
                <c:pt idx="5">
                  <c:v>1.5967381924748394</c:v>
                </c:pt>
                <c:pt idx="6">
                  <c:v>1.5870274394216555</c:v>
                </c:pt>
                <c:pt idx="7">
                  <c:v>1.5748889981051755</c:v>
                </c:pt>
                <c:pt idx="8">
                  <c:v>1.5597159464595753</c:v>
                </c:pt>
                <c:pt idx="9">
                  <c:v>1.5407496319025751</c:v>
                </c:pt>
                <c:pt idx="10">
                  <c:v>1.5170417387063249</c:v>
                </c:pt>
                <c:pt idx="11">
                  <c:v>1.4874068722110119</c:v>
                </c:pt>
                <c:pt idx="12">
                  <c:v>1.450363289091871</c:v>
                </c:pt>
                <c:pt idx="13">
                  <c:v>1.4180202614765625</c:v>
                </c:pt>
                <c:pt idx="14">
                  <c:v>1.4082230779026581</c:v>
                </c:pt>
                <c:pt idx="15">
                  <c:v>1.3985052527667838</c:v>
                </c:pt>
                <c:pt idx="16">
                  <c:v>1.3544411452662746</c:v>
                </c:pt>
                <c:pt idx="17">
                  <c:v>1.3318035012856095</c:v>
                </c:pt>
                <c:pt idx="18">
                  <c:v>1.3002825326023177</c:v>
                </c:pt>
                <c:pt idx="19">
                  <c:v>1.2915804392108681</c:v>
                </c:pt>
                <c:pt idx="20">
                  <c:v>1.2701180008276896</c:v>
                </c:pt>
                <c:pt idx="21">
                  <c:v>1.2217144066883165</c:v>
                </c:pt>
                <c:pt idx="22">
                  <c:v>1.1884721192321626</c:v>
                </c:pt>
                <c:pt idx="23">
                  <c:v>1.1727314675413365</c:v>
                </c:pt>
                <c:pt idx="24">
                  <c:v>1.143913594960051</c:v>
                </c:pt>
                <c:pt idx="25">
                  <c:v>1.1102326306058781</c:v>
                </c:pt>
                <c:pt idx="26">
                  <c:v>1.0548869349932453</c:v>
                </c:pt>
                <c:pt idx="27">
                  <c:v>1.027343216300513</c:v>
                </c:pt>
                <c:pt idx="28">
                  <c:v>1.0118286418008826</c:v>
                </c:pt>
                <c:pt idx="29">
                  <c:v>1.0174880704845817</c:v>
                </c:pt>
                <c:pt idx="30">
                  <c:v>1.0226823428359022</c:v>
                </c:pt>
                <c:pt idx="31">
                  <c:v>1.0250976678828942</c:v>
                </c:pt>
                <c:pt idx="32">
                  <c:v>1.0061530580559905</c:v>
                </c:pt>
                <c:pt idx="33">
                  <c:v>1.0025439918837309</c:v>
                </c:pt>
                <c:pt idx="34">
                  <c:v>1.0113744052741502</c:v>
                </c:pt>
                <c:pt idx="35">
                  <c:v>0.9989102438007188</c:v>
                </c:pt>
                <c:pt idx="36">
                  <c:v>0.98631845162343679</c:v>
                </c:pt>
                <c:pt idx="37">
                  <c:v>0.99045107303316204</c:v>
                </c:pt>
                <c:pt idx="38">
                  <c:v>0.98186277067239036</c:v>
                </c:pt>
                <c:pt idx="39">
                  <c:v>0.95467667174147164</c:v>
                </c:pt>
                <c:pt idx="40">
                  <c:v>0.93190018243569295</c:v>
                </c:pt>
                <c:pt idx="41">
                  <c:v>0.93527405775831385</c:v>
                </c:pt>
                <c:pt idx="42">
                  <c:v>0.91556885300230328</c:v>
                </c:pt>
                <c:pt idx="43">
                  <c:v>0.88321956610016317</c:v>
                </c:pt>
                <c:pt idx="44">
                  <c:v>0.86494364678398017</c:v>
                </c:pt>
                <c:pt idx="45">
                  <c:v>0.87134947504885008</c:v>
                </c:pt>
                <c:pt idx="46">
                  <c:v>0.87785371409897217</c:v>
                </c:pt>
                <c:pt idx="47">
                  <c:v>0.90897981724232724</c:v>
                </c:pt>
                <c:pt idx="48">
                  <c:v>0.92595984959878808</c:v>
                </c:pt>
                <c:pt idx="49">
                  <c:v>0.95129777123136883</c:v>
                </c:pt>
                <c:pt idx="50">
                  <c:v>0.96707244472064546</c:v>
                </c:pt>
                <c:pt idx="51">
                  <c:v>0.97383565291561214</c:v>
                </c:pt>
                <c:pt idx="52">
                  <c:v>0.96803644406822142</c:v>
                </c:pt>
                <c:pt idx="53">
                  <c:v>0.96083485532479973</c:v>
                </c:pt>
                <c:pt idx="54">
                  <c:v>0.97147696089647895</c:v>
                </c:pt>
                <c:pt idx="55">
                  <c:v>0.97781092374023948</c:v>
                </c:pt>
                <c:pt idx="56">
                  <c:v>0.98768394499632417</c:v>
                </c:pt>
                <c:pt idx="57">
                  <c:v>0.9967145009079833</c:v>
                </c:pt>
                <c:pt idx="58">
                  <c:v>1.0167557300220014</c:v>
                </c:pt>
                <c:pt idx="59">
                  <c:v>1.0261177137918289</c:v>
                </c:pt>
                <c:pt idx="60">
                  <c:v>1.0269765585434176</c:v>
                </c:pt>
                <c:pt idx="61">
                  <c:v>1.0235417794080726</c:v>
                </c:pt>
                <c:pt idx="62">
                  <c:v>1.0086843818147067</c:v>
                </c:pt>
                <c:pt idx="63">
                  <c:v>1.0047814020035417</c:v>
                </c:pt>
                <c:pt idx="64">
                  <c:v>1.0094594795287171</c:v>
                </c:pt>
                <c:pt idx="65">
                  <c:v>0.98939439779773375</c:v>
                </c:pt>
                <c:pt idx="66">
                  <c:v>0.95918741668549412</c:v>
                </c:pt>
                <c:pt idx="67">
                  <c:v>0.92904117763584759</c:v>
                </c:pt>
                <c:pt idx="68">
                  <c:v>0.92475172683928597</c:v>
                </c:pt>
                <c:pt idx="69">
                  <c:v>0.90276075585326931</c:v>
                </c:pt>
                <c:pt idx="70">
                  <c:v>0.8742183021879435</c:v>
                </c:pt>
                <c:pt idx="71">
                  <c:v>0.79744759279915023</c:v>
                </c:pt>
                <c:pt idx="72">
                  <c:v>0.73382783298617382</c:v>
                </c:pt>
                <c:pt idx="73">
                  <c:v>0.72065579449601558</c:v>
                </c:pt>
                <c:pt idx="74">
                  <c:v>0.70111311846363022</c:v>
                </c:pt>
                <c:pt idx="75">
                  <c:v>0.70711623612027275</c:v>
                </c:pt>
                <c:pt idx="76">
                  <c:v>0.72589056899412052</c:v>
                </c:pt>
                <c:pt idx="77">
                  <c:v>0.72747348822112579</c:v>
                </c:pt>
                <c:pt idx="78">
                  <c:v>0.71725254556905926</c:v>
                </c:pt>
                <c:pt idx="79">
                  <c:v>0.71017106399228513</c:v>
                </c:pt>
                <c:pt idx="80">
                  <c:v>0.70594891607391608</c:v>
                </c:pt>
                <c:pt idx="81">
                  <c:v>0.69087088716322309</c:v>
                </c:pt>
                <c:pt idx="82">
                  <c:v>0.68042031599664454</c:v>
                </c:pt>
                <c:pt idx="83">
                  <c:v>0.65384093826264056</c:v>
                </c:pt>
                <c:pt idx="84">
                  <c:v>0.64385525838137347</c:v>
                </c:pt>
                <c:pt idx="85">
                  <c:v>0.64492549186848136</c:v>
                </c:pt>
                <c:pt idx="86">
                  <c:v>0.64769881349089764</c:v>
                </c:pt>
                <c:pt idx="87">
                  <c:v>0.65105936813437926</c:v>
                </c:pt>
                <c:pt idx="88">
                  <c:v>0.65126453038917109</c:v>
                </c:pt>
                <c:pt idx="89">
                  <c:v>0.64922783291910813</c:v>
                </c:pt>
                <c:pt idx="90">
                  <c:v>0.64250236714515552</c:v>
                </c:pt>
                <c:pt idx="91">
                  <c:v>0.63337214366949635</c:v>
                </c:pt>
                <c:pt idx="92">
                  <c:v>0.64020489939332303</c:v>
                </c:pt>
                <c:pt idx="93">
                  <c:v>0.64938885849985628</c:v>
                </c:pt>
                <c:pt idx="94">
                  <c:v>0.66239596670592849</c:v>
                </c:pt>
                <c:pt idx="95">
                  <c:v>0.67552015651123853</c:v>
                </c:pt>
                <c:pt idx="96">
                  <c:v>0.68364658270159728</c:v>
                </c:pt>
                <c:pt idx="97">
                  <c:v>0.68448090588917365</c:v>
                </c:pt>
                <c:pt idx="98">
                  <c:v>0.68496117222836317</c:v>
                </c:pt>
                <c:pt idx="99">
                  <c:v>0.68958034547578617</c:v>
                </c:pt>
                <c:pt idx="100">
                  <c:v>0.69246074700219085</c:v>
                </c:pt>
                <c:pt idx="101">
                  <c:v>0.69630237932960293</c:v>
                </c:pt>
                <c:pt idx="102">
                  <c:v>0.69877349235127495</c:v>
                </c:pt>
                <c:pt idx="103">
                  <c:v>0.70210351404777116</c:v>
                </c:pt>
                <c:pt idx="104">
                  <c:v>0.70763244687835969</c:v>
                </c:pt>
                <c:pt idx="105">
                  <c:v>0.71124816385137757</c:v>
                </c:pt>
                <c:pt idx="106">
                  <c:v>0.72211757777867935</c:v>
                </c:pt>
                <c:pt idx="107">
                  <c:v>0.72613950521802817</c:v>
                </c:pt>
                <c:pt idx="108">
                  <c:v>0.73896346474468066</c:v>
                </c:pt>
                <c:pt idx="109">
                  <c:v>0.75057268979721625</c:v>
                </c:pt>
                <c:pt idx="110">
                  <c:v>0.75029488872264039</c:v>
                </c:pt>
                <c:pt idx="111">
                  <c:v>0.75243931837995093</c:v>
                </c:pt>
                <c:pt idx="112">
                  <c:v>0.74539426186887336</c:v>
                </c:pt>
                <c:pt idx="113">
                  <c:v>0.73618605719768271</c:v>
                </c:pt>
                <c:pt idx="114">
                  <c:v>0.7362500614901909</c:v>
                </c:pt>
                <c:pt idx="115">
                  <c:v>0.74814545740672878</c:v>
                </c:pt>
                <c:pt idx="116">
                  <c:v>0.75666493459137185</c:v>
                </c:pt>
                <c:pt idx="117">
                  <c:v>0.75300720952074252</c:v>
                </c:pt>
                <c:pt idx="118">
                  <c:v>0.73887021321267754</c:v>
                </c:pt>
                <c:pt idx="119">
                  <c:v>0.72449441689281413</c:v>
                </c:pt>
                <c:pt idx="120">
                  <c:v>0.68996704936042752</c:v>
                </c:pt>
                <c:pt idx="121">
                  <c:v>0.65725682478587844</c:v>
                </c:pt>
                <c:pt idx="122">
                  <c:v>0.65382463588211814</c:v>
                </c:pt>
                <c:pt idx="123">
                  <c:v>0.63747787878210893</c:v>
                </c:pt>
                <c:pt idx="124">
                  <c:v>0.6354507210884357</c:v>
                </c:pt>
                <c:pt idx="125">
                  <c:v>0.63195225229371932</c:v>
                </c:pt>
                <c:pt idx="126">
                  <c:v>0.62966896326851063</c:v>
                </c:pt>
                <c:pt idx="127">
                  <c:v>0.63316461969802917</c:v>
                </c:pt>
                <c:pt idx="128">
                  <c:v>0.64034737846133272</c:v>
                </c:pt>
                <c:pt idx="129">
                  <c:v>0.63694779871927842</c:v>
                </c:pt>
                <c:pt idx="130">
                  <c:v>0.64145939594680168</c:v>
                </c:pt>
                <c:pt idx="131">
                  <c:v>0.64605399399711227</c:v>
                </c:pt>
                <c:pt idx="132">
                  <c:v>0.65115422710825066</c:v>
                </c:pt>
                <c:pt idx="133">
                  <c:v>0.65664537362601771</c:v>
                </c:pt>
                <c:pt idx="134">
                  <c:v>0.65209580025466751</c:v>
                </c:pt>
                <c:pt idx="135">
                  <c:v>0.65701857199435154</c:v>
                </c:pt>
                <c:pt idx="136">
                  <c:v>0.65151739973099143</c:v>
                </c:pt>
                <c:pt idx="137">
                  <c:v>0.64793638346700899</c:v>
                </c:pt>
                <c:pt idx="138">
                  <c:v>0.63349338913490894</c:v>
                </c:pt>
                <c:pt idx="139">
                  <c:v>0.64525944141968106</c:v>
                </c:pt>
                <c:pt idx="140">
                  <c:v>0.66478961516376966</c:v>
                </c:pt>
                <c:pt idx="141">
                  <c:v>0.6842993471492882</c:v>
                </c:pt>
                <c:pt idx="142">
                  <c:v>0.70121146912959498</c:v>
                </c:pt>
                <c:pt idx="143">
                  <c:v>0.70635663711770191</c:v>
                </c:pt>
                <c:pt idx="144">
                  <c:v>0.70491117006890058</c:v>
                </c:pt>
                <c:pt idx="145">
                  <c:v>0.70141642332205567</c:v>
                </c:pt>
                <c:pt idx="146">
                  <c:v>0.71336448160165089</c:v>
                </c:pt>
                <c:pt idx="147">
                  <c:v>0.72403958370830246</c:v>
                </c:pt>
                <c:pt idx="148">
                  <c:v>0.72958691111415042</c:v>
                </c:pt>
                <c:pt idx="149">
                  <c:v>0.7228570132717772</c:v>
                </c:pt>
                <c:pt idx="150">
                  <c:v>0.73228829200486778</c:v>
                </c:pt>
                <c:pt idx="151">
                  <c:v>0.74938225964816685</c:v>
                </c:pt>
                <c:pt idx="152">
                  <c:v>0.7664093716529794</c:v>
                </c:pt>
                <c:pt idx="153">
                  <c:v>0.77443108859165533</c:v>
                </c:pt>
                <c:pt idx="154">
                  <c:v>0.79233516179893537</c:v>
                </c:pt>
                <c:pt idx="155">
                  <c:v>0.79148635623857388</c:v>
                </c:pt>
                <c:pt idx="156">
                  <c:v>0.82611265136023604</c:v>
                </c:pt>
                <c:pt idx="157">
                  <c:v>0.86722534648765814</c:v>
                </c:pt>
                <c:pt idx="158">
                  <c:v>0.90567554955547103</c:v>
                </c:pt>
                <c:pt idx="159">
                  <c:v>0.94666273311679516</c:v>
                </c:pt>
                <c:pt idx="160">
                  <c:v>0.9863537993914766</c:v>
                </c:pt>
                <c:pt idx="161">
                  <c:v>0.99794458016673326</c:v>
                </c:pt>
                <c:pt idx="162">
                  <c:v>1.0111325594071401</c:v>
                </c:pt>
                <c:pt idx="163">
                  <c:v>1.0117624046136278</c:v>
                </c:pt>
                <c:pt idx="164">
                  <c:v>1.0226683472880853</c:v>
                </c:pt>
                <c:pt idx="165">
                  <c:v>1.0121137870285883</c:v>
                </c:pt>
                <c:pt idx="166">
                  <c:v>1.0058876482889263</c:v>
                </c:pt>
                <c:pt idx="167">
                  <c:v>0.98455183775759236</c:v>
                </c:pt>
                <c:pt idx="168">
                  <c:v>0.97891507731016092</c:v>
                </c:pt>
                <c:pt idx="169">
                  <c:v>0.99893280125695616</c:v>
                </c:pt>
                <c:pt idx="170">
                  <c:v>1.024256369214708</c:v>
                </c:pt>
                <c:pt idx="171">
                  <c:v>1.0499878622932175</c:v>
                </c:pt>
                <c:pt idx="172">
                  <c:v>1.0665808299241681</c:v>
                </c:pt>
                <c:pt idx="173">
                  <c:v>1.0708737297870963</c:v>
                </c:pt>
                <c:pt idx="174">
                  <c:v>1.0636512391866246</c:v>
                </c:pt>
                <c:pt idx="175">
                  <c:v>1.0626366935409672</c:v>
                </c:pt>
                <c:pt idx="176">
                  <c:v>1.1009613225823247</c:v>
                </c:pt>
                <c:pt idx="177">
                  <c:v>1.1077439233904276</c:v>
                </c:pt>
                <c:pt idx="178">
                  <c:v>1.1096875400346491</c:v>
                </c:pt>
                <c:pt idx="179">
                  <c:v>1.1352470944374309</c:v>
                </c:pt>
                <c:pt idx="180">
                  <c:v>1.0930023149257571</c:v>
                </c:pt>
                <c:pt idx="181">
                  <c:v>1.0604030696824025</c:v>
                </c:pt>
                <c:pt idx="182">
                  <c:v>1.0570798655242419</c:v>
                </c:pt>
                <c:pt idx="183">
                  <c:v>1.0220209782393161</c:v>
                </c:pt>
                <c:pt idx="184">
                  <c:v>0.91426404973180542</c:v>
                </c:pt>
                <c:pt idx="185">
                  <c:v>0.84974005621687299</c:v>
                </c:pt>
                <c:pt idx="186">
                  <c:v>0.79789613060192199</c:v>
                </c:pt>
                <c:pt idx="187">
                  <c:v>0.77159171388175274</c:v>
                </c:pt>
                <c:pt idx="188">
                  <c:v>0.71749171607379769</c:v>
                </c:pt>
                <c:pt idx="189">
                  <c:v>0.66505793523644297</c:v>
                </c:pt>
                <c:pt idx="190">
                  <c:v>0.62925512758317803</c:v>
                </c:pt>
                <c:pt idx="191">
                  <c:v>0.60676599340843385</c:v>
                </c:pt>
                <c:pt idx="192">
                  <c:v>0.59255976320909309</c:v>
                </c:pt>
                <c:pt idx="193">
                  <c:v>0.59168110481834957</c:v>
                </c:pt>
                <c:pt idx="194">
                  <c:v>0.5806964346342669</c:v>
                </c:pt>
                <c:pt idx="195">
                  <c:v>0.57034142277584998</c:v>
                </c:pt>
                <c:pt idx="196">
                  <c:v>0.56077348382451531</c:v>
                </c:pt>
                <c:pt idx="197">
                  <c:v>0.55797651607278165</c:v>
                </c:pt>
                <c:pt idx="198">
                  <c:v>0.55793650906126979</c:v>
                </c:pt>
                <c:pt idx="199">
                  <c:v>0.55820800752275479</c:v>
                </c:pt>
                <c:pt idx="200">
                  <c:v>0.55485004750204969</c:v>
                </c:pt>
                <c:pt idx="201">
                  <c:v>0.53682778676354759</c:v>
                </c:pt>
                <c:pt idx="202">
                  <c:v>0.52892853961772801</c:v>
                </c:pt>
                <c:pt idx="203">
                  <c:v>0.51833108942723505</c:v>
                </c:pt>
                <c:pt idx="204">
                  <c:v>0.51657816001414647</c:v>
                </c:pt>
                <c:pt idx="205">
                  <c:v>0.52523786712106368</c:v>
                </c:pt>
                <c:pt idx="206">
                  <c:v>0.52939122606780598</c:v>
                </c:pt>
                <c:pt idx="207">
                  <c:v>0.52349092545854981</c:v>
                </c:pt>
                <c:pt idx="208">
                  <c:v>0.53556673686241107</c:v>
                </c:pt>
                <c:pt idx="209">
                  <c:v>0.53788158888871029</c:v>
                </c:pt>
                <c:pt idx="210">
                  <c:v>0.53788158888871029</c:v>
                </c:pt>
              </c:numCache>
            </c:numRef>
          </c:val>
          <c:smooth val="0"/>
          <c:extLst>
            <c:ext xmlns:c16="http://schemas.microsoft.com/office/drawing/2014/chart" uri="{C3380CC4-5D6E-409C-BE32-E72D297353CC}">
              <c16:uniqueId val="{00000001-6FC6-A14D-B703-25A6F3A723A9}"/>
            </c:ext>
          </c:extLst>
        </c:ser>
        <c:dLbls>
          <c:showLegendKey val="0"/>
          <c:showVal val="0"/>
          <c:showCatName val="0"/>
          <c:showSerName val="0"/>
          <c:showPercent val="0"/>
          <c:showBubbleSize val="0"/>
        </c:dLbls>
        <c:smooth val="0"/>
        <c:axId val="402132160"/>
        <c:axId val="402133872"/>
      </c:lineChart>
      <c:dateAx>
        <c:axId val="402132160"/>
        <c:scaling>
          <c:orientation val="minMax"/>
        </c:scaling>
        <c:delete val="0"/>
        <c:axPos val="b"/>
        <c:numFmt formatCode="[$-1009]mmmm\ d\,\ 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33872"/>
        <c:crosses val="autoZero"/>
        <c:auto val="1"/>
        <c:lblOffset val="100"/>
        <c:baseTimeUnit val="days"/>
      </c:dateAx>
      <c:valAx>
        <c:axId val="402133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13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Inventory</a:t>
            </a:r>
            <a:r>
              <a:rPr lang="en-US" baseline="0"/>
              <a:t> Value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Forecasting!$CX$2</c:f>
              <c:strCache>
                <c:ptCount val="1"/>
                <c:pt idx="0">
                  <c:v>AVG VALUE</c:v>
                </c:pt>
              </c:strCache>
            </c:strRef>
          </c:tx>
          <c:spPr>
            <a:ln w="28575" cap="rnd">
              <a:solidFill>
                <a:schemeClr val="accent2"/>
              </a:solidFill>
              <a:round/>
            </a:ln>
            <a:effectLst/>
          </c:spPr>
          <c:marker>
            <c:symbol val="none"/>
          </c:marker>
          <c:val>
            <c:numRef>
              <c:f>Forecasting!$CX$3:$CX$15</c:f>
              <c:numCache>
                <c:formatCode>General</c:formatCode>
                <c:ptCount val="13"/>
                <c:pt idx="0">
                  <c:v>14722.172397532968</c:v>
                </c:pt>
                <c:pt idx="1">
                  <c:v>14914.513984547148</c:v>
                </c:pt>
                <c:pt idx="2">
                  <c:v>15141.805467047985</c:v>
                </c:pt>
                <c:pt idx="3">
                  <c:v>15292.430794888725</c:v>
                </c:pt>
                <c:pt idx="4">
                  <c:v>15523.265754942428</c:v>
                </c:pt>
                <c:pt idx="5">
                  <c:v>15763.550899527974</c:v>
                </c:pt>
                <c:pt idx="6">
                  <c:v>16037.515719121677</c:v>
                </c:pt>
                <c:pt idx="7">
                  <c:v>16313.636093993511</c:v>
                </c:pt>
                <c:pt idx="8">
                  <c:v>16514.827054994734</c:v>
                </c:pt>
                <c:pt idx="9">
                  <c:v>16723.423752147319</c:v>
                </c:pt>
                <c:pt idx="10">
                  <c:v>17044.380201999818</c:v>
                </c:pt>
                <c:pt idx="11">
                  <c:v>17255.101593217696</c:v>
                </c:pt>
                <c:pt idx="12">
                  <c:v>17522.880055831345</c:v>
                </c:pt>
              </c:numCache>
            </c:numRef>
          </c:val>
          <c:smooth val="0"/>
          <c:extLst>
            <c:ext xmlns:c16="http://schemas.microsoft.com/office/drawing/2014/chart" uri="{C3380CC4-5D6E-409C-BE32-E72D297353CC}">
              <c16:uniqueId val="{00000001-0CD3-514B-99B8-8199C8C48C7C}"/>
            </c:ext>
          </c:extLst>
        </c:ser>
        <c:ser>
          <c:idx val="2"/>
          <c:order val="1"/>
          <c:tx>
            <c:strRef>
              <c:f>Forecasting!$CY$2</c:f>
              <c:strCache>
                <c:ptCount val="1"/>
                <c:pt idx="0">
                  <c:v>WORST CASE VALUE</c:v>
                </c:pt>
              </c:strCache>
            </c:strRef>
          </c:tx>
          <c:spPr>
            <a:ln w="28575" cap="rnd">
              <a:solidFill>
                <a:schemeClr val="accent3"/>
              </a:solidFill>
              <a:round/>
            </a:ln>
            <a:effectLst/>
          </c:spPr>
          <c:marker>
            <c:symbol val="none"/>
          </c:marker>
          <c:val>
            <c:numRef>
              <c:f>Forecasting!$CY$3:$CY$15</c:f>
              <c:numCache>
                <c:formatCode>General</c:formatCode>
                <c:ptCount val="13"/>
                <c:pt idx="0">
                  <c:v>14722.172397532981</c:v>
                </c:pt>
                <c:pt idx="1">
                  <c:v>14241.503772730397</c:v>
                </c:pt>
                <c:pt idx="2">
                  <c:v>14152.593509008393</c:v>
                </c:pt>
                <c:pt idx="3">
                  <c:v>14089.478629792289</c:v>
                </c:pt>
                <c:pt idx="4">
                  <c:v>14305.571435459437</c:v>
                </c:pt>
                <c:pt idx="5">
                  <c:v>14372.693745149772</c:v>
                </c:pt>
                <c:pt idx="6">
                  <c:v>14364.330896664986</c:v>
                </c:pt>
                <c:pt idx="7">
                  <c:v>14500.703481810639</c:v>
                </c:pt>
                <c:pt idx="8">
                  <c:v>14524.215782185407</c:v>
                </c:pt>
                <c:pt idx="9">
                  <c:v>14424.459732122965</c:v>
                </c:pt>
                <c:pt idx="10">
                  <c:v>14718.653151135912</c:v>
                </c:pt>
                <c:pt idx="11">
                  <c:v>15082.065986299205</c:v>
                </c:pt>
                <c:pt idx="12">
                  <c:v>15011.939386132695</c:v>
                </c:pt>
              </c:numCache>
            </c:numRef>
          </c:val>
          <c:smooth val="0"/>
          <c:extLst>
            <c:ext xmlns:c16="http://schemas.microsoft.com/office/drawing/2014/chart" uri="{C3380CC4-5D6E-409C-BE32-E72D297353CC}">
              <c16:uniqueId val="{00000002-0CD3-514B-99B8-8199C8C48C7C}"/>
            </c:ext>
          </c:extLst>
        </c:ser>
        <c:ser>
          <c:idx val="3"/>
          <c:order val="2"/>
          <c:tx>
            <c:strRef>
              <c:f>Forecasting!$CZ$2</c:f>
              <c:strCache>
                <c:ptCount val="1"/>
                <c:pt idx="0">
                  <c:v>BEST CASE VALUE</c:v>
                </c:pt>
              </c:strCache>
            </c:strRef>
          </c:tx>
          <c:spPr>
            <a:ln w="28575" cap="rnd">
              <a:solidFill>
                <a:schemeClr val="accent4"/>
              </a:solidFill>
              <a:round/>
            </a:ln>
            <a:effectLst/>
          </c:spPr>
          <c:marker>
            <c:symbol val="none"/>
          </c:marker>
          <c:val>
            <c:numRef>
              <c:f>Forecasting!$CZ$3:$CZ$15</c:f>
              <c:numCache>
                <c:formatCode>General</c:formatCode>
                <c:ptCount val="13"/>
                <c:pt idx="0">
                  <c:v>14722.172397532981</c:v>
                </c:pt>
                <c:pt idx="1">
                  <c:v>15649.331239167128</c:v>
                </c:pt>
                <c:pt idx="2">
                  <c:v>16376.768962993585</c:v>
                </c:pt>
                <c:pt idx="3">
                  <c:v>16765.247207547589</c:v>
                </c:pt>
                <c:pt idx="4">
                  <c:v>16964.553391102872</c:v>
                </c:pt>
                <c:pt idx="5">
                  <c:v>17603.693279153842</c:v>
                </c:pt>
                <c:pt idx="6">
                  <c:v>18102.951957036425</c:v>
                </c:pt>
                <c:pt idx="7">
                  <c:v>18201.22907138673</c:v>
                </c:pt>
                <c:pt idx="8">
                  <c:v>18665.782316954166</c:v>
                </c:pt>
                <c:pt idx="9">
                  <c:v>19329.359983436887</c:v>
                </c:pt>
                <c:pt idx="10">
                  <c:v>19410.08879731247</c:v>
                </c:pt>
                <c:pt idx="11">
                  <c:v>20270.556540939197</c:v>
                </c:pt>
                <c:pt idx="12">
                  <c:v>20566.022243617837</c:v>
                </c:pt>
              </c:numCache>
            </c:numRef>
          </c:val>
          <c:smooth val="0"/>
          <c:extLst>
            <c:ext xmlns:c16="http://schemas.microsoft.com/office/drawing/2014/chart" uri="{C3380CC4-5D6E-409C-BE32-E72D297353CC}">
              <c16:uniqueId val="{00000003-0CD3-514B-99B8-8199C8C48C7C}"/>
            </c:ext>
          </c:extLst>
        </c:ser>
        <c:dLbls>
          <c:showLegendKey val="0"/>
          <c:showVal val="0"/>
          <c:showCatName val="0"/>
          <c:showSerName val="0"/>
          <c:showPercent val="0"/>
          <c:showBubbleSize val="0"/>
        </c:dLbls>
        <c:smooth val="0"/>
        <c:axId val="813114143"/>
        <c:axId val="1388557903"/>
      </c:lineChart>
      <c:catAx>
        <c:axId val="81311414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8557903"/>
        <c:crosses val="autoZero"/>
        <c:auto val="1"/>
        <c:lblAlgn val="ctr"/>
        <c:lblOffset val="100"/>
        <c:noMultiLvlLbl val="0"/>
      </c:catAx>
      <c:valAx>
        <c:axId val="13885579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31141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Value</a:t>
            </a:r>
            <a:r>
              <a:rPr lang="en-US" baseline="0"/>
              <a:t> at Risk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xVal>
            <c:numRef>
              <c:f>Forecasting!$A$3:$A$15</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Forecasting!$DB$3:$DB$15</c:f>
              <c:numCache>
                <c:formatCode>0%</c:formatCode>
                <c:ptCount val="13"/>
                <c:pt idx="0">
                  <c:v>0</c:v>
                </c:pt>
                <c:pt idx="1">
                  <c:v>4.5124515120911958E-2</c:v>
                </c:pt>
                <c:pt idx="2">
                  <c:v>6.5329855161086456E-2</c:v>
                </c:pt>
                <c:pt idx="3">
                  <c:v>7.8663240738581969E-2</c:v>
                </c:pt>
                <c:pt idx="4">
                  <c:v>7.8443179335204727E-2</c:v>
                </c:pt>
                <c:pt idx="5">
                  <c:v>8.8232477773764154E-2</c:v>
                </c:pt>
                <c:pt idx="6">
                  <c:v>0.10432942681151904</c:v>
                </c:pt>
                <c:pt idx="7">
                  <c:v>0.11112989168922145</c:v>
                </c:pt>
                <c:pt idx="8">
                  <c:v>0.1205347937450721</c:v>
                </c:pt>
                <c:pt idx="9">
                  <c:v>0.1374696984359535</c:v>
                </c:pt>
                <c:pt idx="10">
                  <c:v>0.13645125392069282</c:v>
                </c:pt>
                <c:pt idx="11">
                  <c:v>0.12593583382740708</c:v>
                </c:pt>
                <c:pt idx="12">
                  <c:v>0.14329497558040108</c:v>
                </c:pt>
              </c:numCache>
            </c:numRef>
          </c:yVal>
          <c:smooth val="0"/>
          <c:extLst>
            <c:ext xmlns:c16="http://schemas.microsoft.com/office/drawing/2014/chart" uri="{C3380CC4-5D6E-409C-BE32-E72D297353CC}">
              <c16:uniqueId val="{00000000-E8B7-C644-8963-52BB0D1A40AC}"/>
            </c:ext>
          </c:extLst>
        </c:ser>
        <c:dLbls>
          <c:showLegendKey val="0"/>
          <c:showVal val="0"/>
          <c:showCatName val="0"/>
          <c:showSerName val="0"/>
          <c:showPercent val="0"/>
          <c:showBubbleSize val="0"/>
        </c:dLbls>
        <c:axId val="1988925552"/>
        <c:axId val="1988927264"/>
      </c:scatterChart>
      <c:valAx>
        <c:axId val="1988925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8927264"/>
        <c:crosses val="autoZero"/>
        <c:crossBetween val="midCat"/>
      </c:valAx>
      <c:valAx>
        <c:axId val="19889272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892555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 dir="row">_xlchart.v1.0</cx:f>
      </cx:numDim>
    </cx:data>
  </cx:chartData>
  <cx:chart>
    <cx:title pos="t" align="ctr" overlay="0">
      <cx:tx>
        <cx:txData>
          <cx:v>Final Stimulated Prices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Final Stimulated Prices</a:t>
          </a:r>
        </a:p>
      </cx:txPr>
    </cx:title>
    <cx:plotArea>
      <cx:plotAreaRegion>
        <cx:series layoutId="clusteredColumn" uniqueId="{3E7036DF-AFDF-A84A-BFF2-B136543E35B9}">
          <cx:dataId val="0"/>
          <cx:layoutPr>
            <cx:binning intervalClosed="r"/>
          </cx:layoutPr>
        </cx:series>
      </cx:plotAreaRegion>
      <cx:axis id="0">
        <cx:catScaling gapWidth="0"/>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 dir="row">_xlchart.v1.5</cx:f>
      </cx:numDim>
    </cx:data>
  </cx:chartData>
  <cx:chart>
    <cx:title pos="t" align="ctr" overlay="0">
      <cx:tx>
        <cx:txData>
          <cx:v>Profit for Dynamic</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Profit for Dynamic</a:t>
          </a:r>
        </a:p>
      </cx:txPr>
    </cx:title>
    <cx:plotArea>
      <cx:plotAreaRegion>
        <cx:series layoutId="clusteredColumn" uniqueId="{4B6BCF6C-AF44-8B40-AC2A-7A06B5161641}">
          <cx:dataId val="0"/>
          <cx:layoutPr>
            <cx:binning intervalClosed="r"/>
          </cx:layoutPr>
        </cx:series>
      </cx:plotAreaRegion>
      <cx:axis id="0">
        <cx:catScaling gapWidth="0"/>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 dir="row">_xlchart.v1.2</cx:f>
      </cx:numDim>
    </cx:data>
  </cx:chartData>
  <cx:chart>
    <cx:title pos="t" align="ctr" overlay="0">
      <cx:tx>
        <cx:txData>
          <cx:v>Profit for Fixed</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Profit for Fixed</a:t>
          </a:r>
        </a:p>
      </cx:txPr>
    </cx:title>
    <cx:plotArea>
      <cx:plotAreaRegion>
        <cx:series layoutId="clusteredColumn" uniqueId="{24E113ED-8DBB-1945-8199-7CED4B94BBFB}">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2" Type="http://schemas.microsoft.com/office/2014/relationships/chartEx" Target="../charts/chartEx3.xml"/><Relationship Id="rId1" Type="http://schemas.microsoft.com/office/2014/relationships/chartEx" Target="../charts/chartEx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491066</xdr:colOff>
      <xdr:row>12</xdr:row>
      <xdr:rowOff>198966</xdr:rowOff>
    </xdr:from>
    <xdr:to>
      <xdr:col>5</xdr:col>
      <xdr:colOff>770466</xdr:colOff>
      <xdr:row>19</xdr:row>
      <xdr:rowOff>186267</xdr:rowOff>
    </xdr:to>
    <xdr:graphicFrame macro="">
      <xdr:nvGraphicFramePr>
        <xdr:cNvPr id="2" name="Chart 1">
          <a:extLst>
            <a:ext uri="{FF2B5EF4-FFF2-40B4-BE49-F238E27FC236}">
              <a16:creationId xmlns:a16="http://schemas.microsoft.com/office/drawing/2014/main" id="{886FE9CB-94E9-7F7D-F692-767A407026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287867</xdr:colOff>
      <xdr:row>23</xdr:row>
      <xdr:rowOff>4234</xdr:rowOff>
    </xdr:from>
    <xdr:to>
      <xdr:col>6</xdr:col>
      <xdr:colOff>821267</xdr:colOff>
      <xdr:row>33</xdr:row>
      <xdr:rowOff>50800</xdr:rowOff>
    </xdr:to>
    <xdr:graphicFrame macro="">
      <xdr:nvGraphicFramePr>
        <xdr:cNvPr id="3" name="Chart 2">
          <a:extLst>
            <a:ext uri="{FF2B5EF4-FFF2-40B4-BE49-F238E27FC236}">
              <a16:creationId xmlns:a16="http://schemas.microsoft.com/office/drawing/2014/main" id="{FDE9B18B-8850-E419-CD5C-B78B1EED59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292101</xdr:colOff>
      <xdr:row>38</xdr:row>
      <xdr:rowOff>29634</xdr:rowOff>
    </xdr:from>
    <xdr:to>
      <xdr:col>7</xdr:col>
      <xdr:colOff>715434</xdr:colOff>
      <xdr:row>51</xdr:row>
      <xdr:rowOff>131234</xdr:rowOff>
    </xdr:to>
    <xdr:graphicFrame macro="">
      <xdr:nvGraphicFramePr>
        <xdr:cNvPr id="4" name="Chart 3">
          <a:extLst>
            <a:ext uri="{FF2B5EF4-FFF2-40B4-BE49-F238E27FC236}">
              <a16:creationId xmlns:a16="http://schemas.microsoft.com/office/drawing/2014/main" id="{9796A630-7DAD-AA9E-6D21-6BB6B17093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275168</xdr:colOff>
      <xdr:row>56</xdr:row>
      <xdr:rowOff>12701</xdr:rowOff>
    </xdr:from>
    <xdr:to>
      <xdr:col>7</xdr:col>
      <xdr:colOff>67733</xdr:colOff>
      <xdr:row>66</xdr:row>
      <xdr:rowOff>160868</xdr:rowOff>
    </xdr:to>
    <xdr:graphicFrame macro="">
      <xdr:nvGraphicFramePr>
        <xdr:cNvPr id="5" name="Chart 4">
          <a:extLst>
            <a:ext uri="{FF2B5EF4-FFF2-40B4-BE49-F238E27FC236}">
              <a16:creationId xmlns:a16="http://schemas.microsoft.com/office/drawing/2014/main" id="{D539C8C0-6F1A-16F4-2CBB-1D86D60E09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9</xdr:col>
      <xdr:colOff>385232</xdr:colOff>
      <xdr:row>26</xdr:row>
      <xdr:rowOff>101601</xdr:rowOff>
    </xdr:from>
    <xdr:to>
      <xdr:col>11</xdr:col>
      <xdr:colOff>554566</xdr:colOff>
      <xdr:row>39</xdr:row>
      <xdr:rowOff>79373</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A42B16DA-5B9B-40A7-77A7-A5DC41B8404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71565" y="5554134"/>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21166</xdr:colOff>
      <xdr:row>13</xdr:row>
      <xdr:rowOff>16932</xdr:rowOff>
    </xdr:from>
    <xdr:to>
      <xdr:col>10</xdr:col>
      <xdr:colOff>190499</xdr:colOff>
      <xdr:row>25</xdr:row>
      <xdr:rowOff>197904</xdr:rowOff>
    </xdr:to>
    <mc:AlternateContent xmlns:mc="http://schemas.openxmlformats.org/markup-compatibility/2006" xmlns:a14="http://schemas.microsoft.com/office/drawing/2010/main">
      <mc:Choice Requires="a14">
        <xdr:graphicFrame macro="">
          <xdr:nvGraphicFramePr>
            <xdr:cNvPr id="7" name="MetalType">
              <a:extLst>
                <a:ext uri="{FF2B5EF4-FFF2-40B4-BE49-F238E27FC236}">
                  <a16:creationId xmlns:a16="http://schemas.microsoft.com/office/drawing/2014/main" id="{1D57BFA2-E975-74B3-2EAA-331E963A26F1}"/>
                </a:ext>
              </a:extLst>
            </xdr:cNvPr>
            <xdr:cNvGraphicFramePr/>
          </xdr:nvGraphicFramePr>
          <xdr:xfrm>
            <a:off x="0" y="0"/>
            <a:ext cx="0" cy="0"/>
          </xdr:xfrm>
          <a:graphic>
            <a:graphicData uri="http://schemas.microsoft.com/office/drawing/2010/slicer">
              <sle:slicer xmlns:sle="http://schemas.microsoft.com/office/drawing/2010/slicer" name="MetalType"/>
            </a:graphicData>
          </a:graphic>
        </xdr:graphicFrame>
      </mc:Choice>
      <mc:Fallback xmlns="">
        <xdr:sp macro="" textlink="">
          <xdr:nvSpPr>
            <xdr:cNvPr id="0" name=""/>
            <xdr:cNvSpPr>
              <a:spLocks noTextEdit="1"/>
            </xdr:cNvSpPr>
          </xdr:nvSpPr>
          <xdr:spPr>
            <a:xfrm>
              <a:off x="8377766" y="2827865"/>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656166</xdr:colOff>
      <xdr:row>13</xdr:row>
      <xdr:rowOff>16935</xdr:rowOff>
    </xdr:from>
    <xdr:to>
      <xdr:col>12</xdr:col>
      <xdr:colOff>825499</xdr:colOff>
      <xdr:row>25</xdr:row>
      <xdr:rowOff>197907</xdr:rowOff>
    </xdr:to>
    <mc:AlternateContent xmlns:mc="http://schemas.openxmlformats.org/markup-compatibility/2006" xmlns:a14="http://schemas.microsoft.com/office/drawing/2010/main">
      <mc:Choice Requires="a14">
        <xdr:graphicFrame macro="">
          <xdr:nvGraphicFramePr>
            <xdr:cNvPr id="8" name="StockStatus">
              <a:extLst>
                <a:ext uri="{FF2B5EF4-FFF2-40B4-BE49-F238E27FC236}">
                  <a16:creationId xmlns:a16="http://schemas.microsoft.com/office/drawing/2014/main" id="{C3E4F8EF-0E6A-16EF-84E5-712CF1B903EE}"/>
                </a:ext>
              </a:extLst>
            </xdr:cNvPr>
            <xdr:cNvGraphicFramePr/>
          </xdr:nvGraphicFramePr>
          <xdr:xfrm>
            <a:off x="0" y="0"/>
            <a:ext cx="0" cy="0"/>
          </xdr:xfrm>
          <a:graphic>
            <a:graphicData uri="http://schemas.microsoft.com/office/drawing/2010/slicer">
              <sle:slicer xmlns:sle="http://schemas.microsoft.com/office/drawing/2010/slicer" name="StockStatus"/>
            </a:graphicData>
          </a:graphic>
        </xdr:graphicFrame>
      </mc:Choice>
      <mc:Fallback xmlns="">
        <xdr:sp macro="" textlink="">
          <xdr:nvSpPr>
            <xdr:cNvPr id="0" name=""/>
            <xdr:cNvSpPr>
              <a:spLocks noTextEdit="1"/>
            </xdr:cNvSpPr>
          </xdr:nvSpPr>
          <xdr:spPr>
            <a:xfrm>
              <a:off x="10672233" y="2827868"/>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270933</xdr:colOff>
      <xdr:row>70</xdr:row>
      <xdr:rowOff>25400</xdr:rowOff>
    </xdr:from>
    <xdr:to>
      <xdr:col>7</xdr:col>
      <xdr:colOff>101599</xdr:colOff>
      <xdr:row>81</xdr:row>
      <xdr:rowOff>173566</xdr:rowOff>
    </xdr:to>
    <xdr:graphicFrame macro="">
      <xdr:nvGraphicFramePr>
        <xdr:cNvPr id="9" name="Chart 8">
          <a:extLst>
            <a:ext uri="{FF2B5EF4-FFF2-40B4-BE49-F238E27FC236}">
              <a16:creationId xmlns:a16="http://schemas.microsoft.com/office/drawing/2014/main" id="{2CD51EE2-BBD1-C69E-812D-98D5719165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12700</xdr:colOff>
      <xdr:row>2</xdr:row>
      <xdr:rowOff>25400</xdr:rowOff>
    </xdr:from>
    <xdr:to>
      <xdr:col>22</xdr:col>
      <xdr:colOff>457200</xdr:colOff>
      <xdr:row>15</xdr:row>
      <xdr:rowOff>127000</xdr:rowOff>
    </xdr:to>
    <xdr:graphicFrame macro="">
      <xdr:nvGraphicFramePr>
        <xdr:cNvPr id="3" name="Chart 2">
          <a:extLst>
            <a:ext uri="{FF2B5EF4-FFF2-40B4-BE49-F238E27FC236}">
              <a16:creationId xmlns:a16="http://schemas.microsoft.com/office/drawing/2014/main" id="{AD636CD8-418E-6E92-2F45-80F9BB3852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25400</xdr:colOff>
      <xdr:row>17</xdr:row>
      <xdr:rowOff>25400</xdr:rowOff>
    </xdr:from>
    <xdr:to>
      <xdr:col>22</xdr:col>
      <xdr:colOff>469900</xdr:colOff>
      <xdr:row>30</xdr:row>
      <xdr:rowOff>127000</xdr:rowOff>
    </xdr:to>
    <xdr:graphicFrame macro="">
      <xdr:nvGraphicFramePr>
        <xdr:cNvPr id="4" name="Chart 3">
          <a:extLst>
            <a:ext uri="{FF2B5EF4-FFF2-40B4-BE49-F238E27FC236}">
              <a16:creationId xmlns:a16="http://schemas.microsoft.com/office/drawing/2014/main" id="{1FC55E0C-C71D-259F-A730-B9D31E2856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647700</xdr:colOff>
      <xdr:row>15</xdr:row>
      <xdr:rowOff>12700</xdr:rowOff>
    </xdr:from>
    <xdr:to>
      <xdr:col>15</xdr:col>
      <xdr:colOff>266700</xdr:colOff>
      <xdr:row>28</xdr:row>
      <xdr:rowOff>114300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46DF8DCD-30C2-29F9-2024-98C98DAB055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740900" y="30607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10</xdr:row>
      <xdr:rowOff>0</xdr:rowOff>
    </xdr:from>
    <xdr:to>
      <xdr:col>8</xdr:col>
      <xdr:colOff>431800</xdr:colOff>
      <xdr:row>23</xdr:row>
      <xdr:rowOff>101600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2C64CE60-675E-A948-920F-BC106566DE1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895600" y="20320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685800</xdr:colOff>
      <xdr:row>10</xdr:row>
      <xdr:rowOff>12700</xdr:rowOff>
    </xdr:from>
    <xdr:to>
      <xdr:col>14</xdr:col>
      <xdr:colOff>304800</xdr:colOff>
      <xdr:row>23</xdr:row>
      <xdr:rowOff>114300</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A4EBD67-3C98-5A72-315F-3E47C65EB42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721600" y="2044700"/>
              <a:ext cx="457200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520700</xdr:colOff>
      <xdr:row>16</xdr:row>
      <xdr:rowOff>12700</xdr:rowOff>
    </xdr:from>
    <xdr:to>
      <xdr:col>11</xdr:col>
      <xdr:colOff>139700</xdr:colOff>
      <xdr:row>29</xdr:row>
      <xdr:rowOff>114300</xdr:rowOff>
    </xdr:to>
    <xdr:graphicFrame macro="">
      <xdr:nvGraphicFramePr>
        <xdr:cNvPr id="3" name="Chart 2">
          <a:extLst>
            <a:ext uri="{FF2B5EF4-FFF2-40B4-BE49-F238E27FC236}">
              <a16:creationId xmlns:a16="http://schemas.microsoft.com/office/drawing/2014/main" id="{D9F71AEF-26B4-6EAC-EC00-D1E938C496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558800</xdr:colOff>
      <xdr:row>16</xdr:row>
      <xdr:rowOff>25400</xdr:rowOff>
    </xdr:from>
    <xdr:to>
      <xdr:col>17</xdr:col>
      <xdr:colOff>177800</xdr:colOff>
      <xdr:row>29</xdr:row>
      <xdr:rowOff>127000</xdr:rowOff>
    </xdr:to>
    <xdr:graphicFrame macro="">
      <xdr:nvGraphicFramePr>
        <xdr:cNvPr id="7" name="Chart 6">
          <a:extLst>
            <a:ext uri="{FF2B5EF4-FFF2-40B4-BE49-F238E27FC236}">
              <a16:creationId xmlns:a16="http://schemas.microsoft.com/office/drawing/2014/main" id="{E7851113-1A0B-35DD-9410-259269AD28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tiksha Jain" refreshedDate="45872.901675231478" createdVersion="8" refreshedVersion="8" minRefreshableVersion="3" recordCount="111" xr:uid="{C3A4C198-CD73-3C40-9E1E-26BD6F5FD5E4}">
  <cacheSource type="worksheet">
    <worksheetSource name="Inventory"/>
  </cacheSource>
  <cacheFields count="19">
    <cacheField name="ProductID" numFmtId="0">
      <sharedItems/>
    </cacheField>
    <cacheField name="ProductName" numFmtId="0">
      <sharedItems/>
    </cacheField>
    <cacheField name="Category" numFmtId="0">
      <sharedItems count="6">
        <s v="Chains"/>
        <s v="Ear Ring"/>
        <s v="Bracelet"/>
        <s v="Pendant"/>
        <s v="Rings"/>
        <s v="Ear Tops"/>
      </sharedItems>
    </cacheField>
    <cacheField name="MetalType" numFmtId="0">
      <sharedItems count="2">
        <s v="Gold"/>
        <s v="Silver"/>
      </sharedItems>
    </cacheField>
    <cacheField name="Weight(gm)" numFmtId="0">
      <sharedItems containsSemiMixedTypes="0" containsString="0" containsNumber="1" minValue="0.3" maxValue="13.9"/>
    </cacheField>
    <cacheField name="PurchasePrice/Gram" numFmtId="0">
      <sharedItems containsSemiMixedTypes="0" containsString="0" containsNumber="1" minValue="48.872415050000001" maxValue="50.8758087"/>
    </cacheField>
    <cacheField name="TotalCost" numFmtId="0">
      <sharedItems containsSemiMixedTypes="0" containsString="0" containsNumber="1" minValue="15.26274261" maxValue="679.32656919500005"/>
    </cacheField>
    <cacheField name="PurchaseDate" numFmtId="14">
      <sharedItems containsSemiMixedTypes="0" containsNonDate="0" containsDate="1" containsString="0" minDate="2023-06-14T00:00:00" maxDate="2023-08-30T00:00:00"/>
    </cacheField>
    <cacheField name="MarketPrice" numFmtId="0">
      <sharedItems containsSemiMixedTypes="0" containsString="0" containsNumber="1" containsInteger="1" minValue="50" maxValue="1500"/>
    </cacheField>
    <cacheField name="SellingPrice" numFmtId="0">
      <sharedItems containsString="0" containsBlank="1" containsNumber="1" minValue="0" maxValue="520"/>
    </cacheField>
    <cacheField name="GrossMargin" numFmtId="2">
      <sharedItems containsSemiMixedTypes="0" containsString="0" containsNumber="1" minValue="0" maxValue="251.20171722499998"/>
    </cacheField>
    <cacheField name="MarginPercent" numFmtId="9">
      <sharedItems containsSemiMixedTypes="0" containsString="0" containsNumber="1" minValue="0" maxValue="0.69474514779999996"/>
    </cacheField>
    <cacheField name="SoldTo" numFmtId="0">
      <sharedItems containsBlank="1"/>
    </cacheField>
    <cacheField name="SaleDate" numFmtId="14">
      <sharedItems containsNonDate="0" containsDate="1" containsString="0" containsBlank="1" minDate="2023-07-07T00:00:00" maxDate="2025-03-28T00:00:00" count="36">
        <m/>
        <d v="2023-12-04T00:00:00"/>
        <d v="2023-07-15T00:00:00"/>
        <d v="2023-07-07T00:00:00"/>
        <d v="2023-08-13T00:00:00"/>
        <d v="2023-09-09T00:00:00"/>
        <d v="2023-07-29T00:00:00"/>
        <d v="2024-08-17T00:00:00"/>
        <d v="2023-09-02T00:00:00"/>
        <d v="2024-07-07T00:00:00"/>
        <d v="2024-02-13T00:00:00"/>
        <d v="2024-05-19T00:00:00"/>
        <d v="2023-11-06T00:00:00"/>
        <d v="2024-12-23T00:00:00"/>
        <d v="2023-12-23T00:00:00"/>
        <d v="2024-03-23T00:00:00"/>
        <d v="2024-08-06T00:00:00"/>
        <d v="2023-08-21T00:00:00"/>
        <d v="2023-08-07T00:00:00"/>
        <d v="2023-08-12T00:00:00"/>
        <d v="2024-08-21T00:00:00"/>
        <d v="2024-12-03T00:00:00"/>
        <d v="2024-08-13T00:00:00"/>
        <d v="2023-08-15T00:00:00"/>
        <d v="2023-12-03T00:00:00"/>
        <d v="2023-10-01T00:00:00"/>
        <d v="2024-08-15T00:00:00"/>
        <d v="2023-08-09T00:00:00"/>
        <d v="2023-08-17T00:00:00"/>
        <d v="2023-11-10T00:00:00"/>
        <d v="2023-10-29T00:00:00"/>
        <d v="2025-03-27T00:00:00"/>
        <d v="2024-10-24T00:00:00"/>
        <d v="2025-03-03T00:00:00"/>
        <d v="2024-03-27T00:00:00" u="1"/>
        <d v="2024-03-03T00:00:00" u="1"/>
      </sharedItems>
      <fieldGroup par="18"/>
    </cacheField>
    <cacheField name="StockStatus" numFmtId="0">
      <sharedItems count="2">
        <s v="In Stock"/>
        <s v="Sold"/>
      </sharedItems>
    </cacheField>
    <cacheField name="DaysInInventory" numFmtId="0">
      <sharedItems containsSemiMixedTypes="0" containsString="0" containsNumber="1" containsInteger="1" minValue="6" maxValue="781"/>
    </cacheField>
    <cacheField name="Months (SaleDate)" numFmtId="0" databaseField="0">
      <fieldGroup base="13">
        <rangePr groupBy="months" startDate="2023-07-07T00:00:00" endDate="2025-03-28T00:00:00"/>
        <groupItems count="14">
          <s v="&lt;2023-07-07"/>
          <s v="Jan"/>
          <s v="Feb"/>
          <s v="Mar"/>
          <s v="Apr"/>
          <s v="May"/>
          <s v="Jun"/>
          <s v="Jul"/>
          <s v="Aug"/>
          <s v="Sep"/>
          <s v="Oct"/>
          <s v="Nov"/>
          <s v="Dec"/>
          <s v="&gt;2025-03-28"/>
        </groupItems>
      </fieldGroup>
    </cacheField>
    <cacheField name="Quarters (SaleDate)" numFmtId="0" databaseField="0">
      <fieldGroup base="13">
        <rangePr groupBy="quarters" startDate="2023-07-07T00:00:00" endDate="2025-03-28T00:00:00"/>
        <groupItems count="6">
          <s v="&lt;2023-07-07"/>
          <s v="Qtr1"/>
          <s v="Qtr2"/>
          <s v="Qtr3"/>
          <s v="Qtr4"/>
          <s v="&gt;2025-03-28"/>
        </groupItems>
      </fieldGroup>
    </cacheField>
    <cacheField name="Years (SaleDate)" numFmtId="0" databaseField="0">
      <fieldGroup base="13">
        <rangePr groupBy="years" startDate="2023-07-07T00:00:00" endDate="2025-03-28T00:00:00"/>
        <groupItems count="5">
          <s v="&lt;2023-07-07"/>
          <s v="2023"/>
          <s v="2024"/>
          <s v="2025"/>
          <s v="&gt;2025-03-28"/>
        </groupItems>
      </fieldGroup>
    </cacheField>
  </cacheFields>
  <extLst>
    <ext xmlns:x14="http://schemas.microsoft.com/office/spreadsheetml/2009/9/main" uri="{725AE2AE-9491-48be-B2B4-4EB974FC3084}">
      <x14:pivotCacheDefinition pivotCacheId="13802603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1">
  <r>
    <s v="C51"/>
    <s v="Chains 10k-22&quot;"/>
    <x v="0"/>
    <x v="0"/>
    <n v="13.9"/>
    <n v="48.872415050000001"/>
    <n v="679.32656919500005"/>
    <d v="2023-06-14T00:00:00"/>
    <n v="1500"/>
    <n v="0"/>
    <n v="0"/>
    <n v="0"/>
    <m/>
    <x v="0"/>
    <x v="0"/>
    <n v="781"/>
  </r>
  <r>
    <s v="C52"/>
    <s v="Chains 10k - 20&quot;"/>
    <x v="0"/>
    <x v="0"/>
    <n v="12.6"/>
    <n v="48.872415050000001"/>
    <n v="615.79242963000002"/>
    <d v="2023-06-14T00:00:00"/>
    <n v="1300"/>
    <n v="0"/>
    <n v="0"/>
    <n v="0"/>
    <m/>
    <x v="0"/>
    <x v="0"/>
    <n v="781"/>
  </r>
  <r>
    <s v="C53"/>
    <s v="Chains 10k - 24&quot;"/>
    <x v="0"/>
    <x v="0"/>
    <n v="5.5"/>
    <n v="48.872415050000001"/>
    <n v="268.79828277500002"/>
    <d v="2023-06-14T00:00:00"/>
    <n v="575"/>
    <n v="520"/>
    <n v="251.20171722499998"/>
    <n v="0.48308022543269225"/>
    <s v="Kathleen"/>
    <x v="1"/>
    <x v="1"/>
    <n v="173"/>
  </r>
  <r>
    <s v="C54"/>
    <s v="Chains 10k - 24&quot;"/>
    <x v="0"/>
    <x v="0"/>
    <n v="5.5"/>
    <n v="48.872415050000001"/>
    <n v="268.79828277500002"/>
    <d v="2023-06-14T00:00:00"/>
    <n v="575"/>
    <n v="0"/>
    <n v="0"/>
    <n v="0"/>
    <m/>
    <x v="0"/>
    <x v="0"/>
    <n v="781"/>
  </r>
  <r>
    <s v="C55"/>
    <s v="Chains 10k-22&quot;"/>
    <x v="0"/>
    <x v="0"/>
    <n v="5.2"/>
    <n v="48.872415050000001"/>
    <n v="254.13655826000002"/>
    <d v="2023-06-14T00:00:00"/>
    <n v="525"/>
    <n v="430"/>
    <n v="175.86344173999998"/>
    <n v="0.40898474823255809"/>
    <s v="Shimona"/>
    <x v="2"/>
    <x v="1"/>
    <n v="31"/>
  </r>
  <r>
    <s v="C56"/>
    <s v="Chains 10k-16&quot;"/>
    <x v="0"/>
    <x v="0"/>
    <n v="1.8"/>
    <n v="48.872415050000001"/>
    <n v="87.970347090000004"/>
    <d v="2023-06-14T00:00:00"/>
    <n v="250"/>
    <n v="175"/>
    <n v="87.029652909999996"/>
    <n v="0.49731230234285712"/>
    <s v="Vishal"/>
    <x v="3"/>
    <x v="1"/>
    <n v="23"/>
  </r>
  <r>
    <s v="C57"/>
    <s v="Chains 10k-16&quot;"/>
    <x v="0"/>
    <x v="0"/>
    <n v="1.9"/>
    <n v="48.872415050000001"/>
    <n v="92.857588594999996"/>
    <d v="2023-06-14T00:00:00"/>
    <n v="250"/>
    <n v="215"/>
    <n v="122.142411405"/>
    <n v="0.56810423909302332"/>
    <s v="Esha"/>
    <x v="4"/>
    <x v="1"/>
    <n v="60"/>
  </r>
  <r>
    <s v="C58"/>
    <s v="Chains 10k-20&quot;"/>
    <x v="0"/>
    <x v="0"/>
    <n v="2.2000000000000002"/>
    <n v="48.872415050000001"/>
    <n v="107.51931311000001"/>
    <d v="2023-06-14T00:00:00"/>
    <n v="300"/>
    <n v="0"/>
    <n v="0"/>
    <n v="0"/>
    <m/>
    <x v="0"/>
    <x v="0"/>
    <n v="781"/>
  </r>
  <r>
    <s v="C59"/>
    <s v="Chains 10k-18&quot;"/>
    <x v="0"/>
    <x v="0"/>
    <n v="2.1"/>
    <n v="48.872415050000001"/>
    <n v="102.63207160500001"/>
    <d v="2023-06-14T00:00:00"/>
    <n v="275"/>
    <n v="103"/>
    <n v="0.36792839499999275"/>
    <n v="3.572120339805755E-3"/>
    <s v="Divya"/>
    <x v="5"/>
    <x v="1"/>
    <n v="87"/>
  </r>
  <r>
    <s v="C60"/>
    <s v="Chains 10k-20&quot;"/>
    <x v="0"/>
    <x v="0"/>
    <n v="2.2999999999999998"/>
    <n v="48.872415050000001"/>
    <n v="112.40655461499999"/>
    <d v="2023-06-14T00:00:00"/>
    <n v="300"/>
    <n v="0"/>
    <n v="0"/>
    <n v="0"/>
    <m/>
    <x v="0"/>
    <x v="0"/>
    <n v="781"/>
  </r>
  <r>
    <s v="C61"/>
    <s v="Chains 10k-18&quot;"/>
    <x v="0"/>
    <x v="0"/>
    <n v="2.1"/>
    <n v="48.872415050000001"/>
    <n v="102.63207160500001"/>
    <d v="2023-06-14T00:00:00"/>
    <n v="275"/>
    <n v="0"/>
    <n v="0"/>
    <n v="0"/>
    <m/>
    <x v="0"/>
    <x v="0"/>
    <n v="781"/>
  </r>
  <r>
    <s v="E61"/>
    <s v="Fancy Hoops"/>
    <x v="1"/>
    <x v="0"/>
    <n v="2.2999999999999998"/>
    <n v="48.872415050000001"/>
    <n v="112.40655461499999"/>
    <d v="2023-06-14T00:00:00"/>
    <n v="200"/>
    <n v="0"/>
    <n v="0"/>
    <n v="0"/>
    <m/>
    <x v="0"/>
    <x v="0"/>
    <n v="781"/>
  </r>
  <r>
    <s v="E62"/>
    <s v="Fancy Hoops"/>
    <x v="1"/>
    <x v="0"/>
    <n v="2.5"/>
    <n v="48.872415050000001"/>
    <n v="122.181037625"/>
    <d v="2023-06-14T00:00:00"/>
    <n v="225"/>
    <n v="0"/>
    <n v="0"/>
    <n v="0"/>
    <m/>
    <x v="0"/>
    <x v="0"/>
    <n v="781"/>
  </r>
  <r>
    <s v="E63"/>
    <s v="Fancy Hoops"/>
    <x v="1"/>
    <x v="0"/>
    <n v="1.7"/>
    <n v="48.872415050000001"/>
    <n v="83.083105584999998"/>
    <d v="2023-06-14T00:00:00"/>
    <n v="150"/>
    <n v="0"/>
    <n v="0"/>
    <n v="0"/>
    <m/>
    <x v="0"/>
    <x v="0"/>
    <n v="781"/>
  </r>
  <r>
    <s v="E64"/>
    <s v="Fancy Hoops"/>
    <x v="1"/>
    <x v="0"/>
    <n v="3"/>
    <n v="48.872415050000001"/>
    <n v="146.61724515"/>
    <d v="2023-06-14T00:00:00"/>
    <n v="265"/>
    <n v="210"/>
    <n v="63.382754849999998"/>
    <n v="0.30182264214285714"/>
    <s v="Mahesh"/>
    <x v="6"/>
    <x v="1"/>
    <n v="45"/>
  </r>
  <r>
    <s v="E65"/>
    <s v="Fancy Hoops"/>
    <x v="1"/>
    <x v="0"/>
    <n v="1.7"/>
    <n v="48.872415050000001"/>
    <n v="83.083105584999998"/>
    <d v="2023-06-14T00:00:00"/>
    <n v="180"/>
    <n v="0"/>
    <n v="0"/>
    <n v="0"/>
    <m/>
    <x v="0"/>
    <x v="0"/>
    <n v="781"/>
  </r>
  <r>
    <s v="E66"/>
    <s v="Fancy Hoops"/>
    <x v="1"/>
    <x v="0"/>
    <n v="2.2999999999999998"/>
    <n v="48.872415050000001"/>
    <n v="112.40655461499999"/>
    <d v="2023-06-14T00:00:00"/>
    <n v="200"/>
    <n v="170"/>
    <n v="57.59344538500001"/>
    <n v="0.33878497285294124"/>
    <s v="Vijay"/>
    <x v="7"/>
    <x v="1"/>
    <n v="430"/>
  </r>
  <r>
    <s v="E67"/>
    <s v="Fancy Hoops"/>
    <x v="1"/>
    <x v="0"/>
    <n v="2.2999999999999998"/>
    <n v="48.872415050000001"/>
    <n v="112.40655461499999"/>
    <d v="2023-06-14T00:00:00"/>
    <n v="200"/>
    <n v="0"/>
    <n v="0"/>
    <n v="0"/>
    <m/>
    <x v="0"/>
    <x v="0"/>
    <n v="781"/>
  </r>
  <r>
    <s v="E68"/>
    <s v="Fancy Hoops"/>
    <x v="1"/>
    <x v="0"/>
    <n v="2.2999999999999998"/>
    <n v="48.872415050000001"/>
    <n v="112.40655461499999"/>
    <d v="2023-06-14T00:00:00"/>
    <n v="200"/>
    <n v="0"/>
    <n v="0"/>
    <n v="0"/>
    <m/>
    <x v="0"/>
    <x v="0"/>
    <n v="781"/>
  </r>
  <r>
    <s v="E69"/>
    <s v="Fancy Hoops"/>
    <x v="1"/>
    <x v="0"/>
    <n v="1.2"/>
    <n v="48.872415050000001"/>
    <n v="58.646898059999998"/>
    <d v="2023-06-14T00:00:00"/>
    <n v="100"/>
    <n v="100"/>
    <n v="41.353101940000002"/>
    <n v="0.41353101940000003"/>
    <s v="Dianne"/>
    <x v="8"/>
    <x v="1"/>
    <n v="80"/>
  </r>
  <r>
    <s v="E70"/>
    <s v="Fancy Hoops"/>
    <x v="1"/>
    <x v="0"/>
    <n v="2.5"/>
    <n v="48.872415050000001"/>
    <n v="122.181037625"/>
    <d v="2023-06-14T00:00:00"/>
    <n v="240"/>
    <n v="180"/>
    <n v="57.818962374999998"/>
    <n v="0.3212164576388889"/>
    <s v="Meenakshi"/>
    <x v="9"/>
    <x v="1"/>
    <n v="389"/>
  </r>
  <r>
    <s v="E71"/>
    <s v="Fancy Hoops"/>
    <x v="1"/>
    <x v="0"/>
    <n v="3.2"/>
    <n v="48.872415050000001"/>
    <n v="156.39172816000001"/>
    <d v="2023-06-14T00:00:00"/>
    <n v="300"/>
    <n v="250"/>
    <n v="93.608271839999986"/>
    <n v="0.37443308735999997"/>
    <s v="Tayo"/>
    <x v="10"/>
    <x v="1"/>
    <n v="244"/>
  </r>
  <r>
    <s v="E72"/>
    <s v="Fancy Hoops"/>
    <x v="1"/>
    <x v="0"/>
    <n v="1.7"/>
    <n v="48.872415050000001"/>
    <n v="83.083105584999998"/>
    <d v="2023-06-14T00:00:00"/>
    <n v="180"/>
    <n v="0"/>
    <n v="0"/>
    <n v="0"/>
    <m/>
    <x v="0"/>
    <x v="0"/>
    <n v="781"/>
  </r>
  <r>
    <s v="E73"/>
    <s v="Fancy Hoops"/>
    <x v="1"/>
    <x v="0"/>
    <n v="1.7"/>
    <n v="48.872415050000001"/>
    <n v="83.083105584999998"/>
    <d v="2023-06-14T00:00:00"/>
    <n v="180"/>
    <n v="0"/>
    <n v="0"/>
    <n v="0"/>
    <m/>
    <x v="0"/>
    <x v="0"/>
    <n v="781"/>
  </r>
  <r>
    <s v="E74"/>
    <s v="Fancy Hoops"/>
    <x v="1"/>
    <x v="0"/>
    <n v="1.7"/>
    <n v="48.872415050000001"/>
    <n v="83.083105584999998"/>
    <d v="2023-06-14T00:00:00"/>
    <n v="180"/>
    <n v="180"/>
    <n v="96.916894415000002"/>
    <n v="0.53842719119444449"/>
    <s v="Bably"/>
    <x v="11"/>
    <x v="1"/>
    <n v="340"/>
  </r>
  <r>
    <s v="E75"/>
    <s v="Fancy Hoops"/>
    <x v="1"/>
    <x v="0"/>
    <n v="4.3"/>
    <n v="48.872415050000001"/>
    <n v="210.15138471500001"/>
    <d v="2023-06-14T00:00:00"/>
    <n v="350"/>
    <n v="0"/>
    <n v="0"/>
    <n v="0"/>
    <m/>
    <x v="0"/>
    <x v="0"/>
    <n v="781"/>
  </r>
  <r>
    <s v="E76"/>
    <s v="Fancy Hoops"/>
    <x v="1"/>
    <x v="0"/>
    <n v="2.2999999999999998"/>
    <n v="48.872415050000001"/>
    <n v="112.40655461499999"/>
    <d v="2023-06-14T00:00:00"/>
    <n v="225"/>
    <n v="0"/>
    <n v="0"/>
    <n v="0"/>
    <m/>
    <x v="0"/>
    <x v="0"/>
    <n v="781"/>
  </r>
  <r>
    <s v="E77"/>
    <s v="Fancy Hoops"/>
    <x v="1"/>
    <x v="0"/>
    <n v="2.4"/>
    <n v="48.872415050000001"/>
    <n v="117.29379612"/>
    <d v="2023-06-14T00:00:00"/>
    <n v="225"/>
    <n v="0"/>
    <n v="0"/>
    <n v="0"/>
    <m/>
    <x v="0"/>
    <x v="0"/>
    <n v="781"/>
  </r>
  <r>
    <s v="E78"/>
    <s v="Fancy Hoops"/>
    <x v="1"/>
    <x v="0"/>
    <n v="3"/>
    <n v="48.872415050000001"/>
    <n v="146.61724515"/>
    <d v="2023-06-14T00:00:00"/>
    <n v="240"/>
    <n v="0"/>
    <n v="0"/>
    <n v="0"/>
    <m/>
    <x v="0"/>
    <x v="0"/>
    <n v="781"/>
  </r>
  <r>
    <s v="E79"/>
    <s v="Fancy Hoops"/>
    <x v="1"/>
    <x v="0"/>
    <n v="1.4"/>
    <n v="48.872415050000001"/>
    <n v="68.421381069999995"/>
    <d v="2023-06-14T00:00:00"/>
    <n v="150"/>
    <n v="150"/>
    <n v="81.578618930000005"/>
    <n v="0.54385745953333331"/>
    <s v="Connie"/>
    <x v="12"/>
    <x v="1"/>
    <n v="145"/>
  </r>
  <r>
    <s v="E80"/>
    <s v="Fancy Hoops"/>
    <x v="1"/>
    <x v="0"/>
    <n v="1.9"/>
    <n v="48.872415050000001"/>
    <n v="92.857588594999996"/>
    <d v="2023-06-14T00:00:00"/>
    <n v="175"/>
    <n v="157"/>
    <n v="64.142411405000004"/>
    <n v="0.40855039111464969"/>
    <s v="Suresh"/>
    <x v="13"/>
    <x v="1"/>
    <n v="558"/>
  </r>
  <r>
    <s v="E81"/>
    <s v="Fancy Hoops"/>
    <x v="1"/>
    <x v="0"/>
    <n v="1.3"/>
    <n v="48.872415050000001"/>
    <n v="63.534139565000004"/>
    <d v="2023-06-14T00:00:00"/>
    <n v="120"/>
    <n v="108"/>
    <n v="44.465860434999996"/>
    <n v="0.41172092995370368"/>
    <s v="Suresh"/>
    <x v="14"/>
    <x v="1"/>
    <n v="192"/>
  </r>
  <r>
    <s v="E82"/>
    <s v="Fancy Hoops"/>
    <x v="1"/>
    <x v="0"/>
    <n v="1.3"/>
    <n v="48.872415050000001"/>
    <n v="63.534139565000004"/>
    <d v="2023-06-14T00:00:00"/>
    <n v="130"/>
    <n v="0"/>
    <n v="0"/>
    <n v="0"/>
    <m/>
    <x v="0"/>
    <x v="0"/>
    <n v="781"/>
  </r>
  <r>
    <s v="E83"/>
    <s v="Fancy Hoops"/>
    <x v="1"/>
    <x v="0"/>
    <n v="1.3"/>
    <n v="48.872415050000001"/>
    <n v="63.534139565000004"/>
    <d v="2023-06-14T00:00:00"/>
    <n v="130"/>
    <n v="0"/>
    <n v="0"/>
    <n v="0"/>
    <m/>
    <x v="0"/>
    <x v="0"/>
    <n v="781"/>
  </r>
  <r>
    <s v="E84"/>
    <s v="Fancy Hoops"/>
    <x v="1"/>
    <x v="0"/>
    <n v="1.3"/>
    <n v="48.872415050000001"/>
    <n v="63.534139565000004"/>
    <d v="2023-06-14T00:00:00"/>
    <n v="130"/>
    <n v="0"/>
    <n v="0"/>
    <n v="0"/>
    <m/>
    <x v="0"/>
    <x v="0"/>
    <n v="781"/>
  </r>
  <r>
    <s v="E85"/>
    <s v="Fancy Hoops"/>
    <x v="1"/>
    <x v="0"/>
    <n v="2.2999999999999998"/>
    <n v="48.872415050000001"/>
    <n v="112.40655461499999"/>
    <d v="2023-06-14T00:00:00"/>
    <n v="200"/>
    <n v="180"/>
    <n v="67.59344538500001"/>
    <n v="0.37551914102777784"/>
    <s v="Ganga"/>
    <x v="15"/>
    <x v="1"/>
    <n v="283"/>
  </r>
  <r>
    <s v="C62"/>
    <s v="Chains 10k-22&quot;"/>
    <x v="0"/>
    <x v="0"/>
    <n v="6.3"/>
    <n v="50.8758087"/>
    <n v="320.51759480999999"/>
    <d v="2023-08-01T00:00:00"/>
    <n v="595"/>
    <n v="0"/>
    <n v="0"/>
    <n v="0"/>
    <m/>
    <x v="0"/>
    <x v="0"/>
    <n v="733"/>
  </r>
  <r>
    <s v="C63"/>
    <s v="Chains 10k-22&quot;"/>
    <x v="0"/>
    <x v="0"/>
    <n v="9.4"/>
    <n v="50.8758087"/>
    <n v="478.23260178000004"/>
    <d v="2023-08-01T00:00:00"/>
    <n v="900"/>
    <n v="0"/>
    <n v="0"/>
    <n v="0"/>
    <m/>
    <x v="0"/>
    <x v="0"/>
    <n v="733"/>
  </r>
  <r>
    <s v="C64"/>
    <s v="Chains 10k-18&quot;"/>
    <x v="0"/>
    <x v="1"/>
    <n v="2.2999999999999998"/>
    <n v="50.8758087"/>
    <n v="117.01436000999999"/>
    <d v="2023-08-01T00:00:00"/>
    <n v="210"/>
    <n v="165"/>
    <n v="47.98563999000001"/>
    <n v="0.29082206054545462"/>
    <s v="Preeti"/>
    <x v="16"/>
    <x v="1"/>
    <n v="371"/>
  </r>
  <r>
    <s v="C65"/>
    <s v="Chains 10k-20&quot;"/>
    <x v="0"/>
    <x v="0"/>
    <n v="4.0999999999999996"/>
    <n v="50.8758087"/>
    <n v="208.59081566999998"/>
    <d v="2023-08-01T00:00:00"/>
    <n v="370"/>
    <n v="0"/>
    <n v="0"/>
    <n v="0"/>
    <m/>
    <x v="0"/>
    <x v="0"/>
    <n v="733"/>
  </r>
  <r>
    <s v="C66"/>
    <s v="Chains 10k-18&quot;"/>
    <x v="0"/>
    <x v="0"/>
    <n v="2.9"/>
    <n v="50.8758087"/>
    <n v="147.53984523"/>
    <d v="2023-08-01T00:00:00"/>
    <n v="265"/>
    <n v="220"/>
    <n v="72.460154770000003"/>
    <n v="0.32936433986363639"/>
    <s v="Shikha"/>
    <x v="17"/>
    <x v="1"/>
    <n v="20"/>
  </r>
  <r>
    <s v="C67"/>
    <s v="Chains 10k-18&quot;"/>
    <x v="0"/>
    <x v="1"/>
    <n v="1.3"/>
    <n v="50.8758087"/>
    <n v="66.138551309999997"/>
    <d v="2023-08-01T00:00:00"/>
    <n v="145"/>
    <n v="0"/>
    <n v="0"/>
    <n v="0"/>
    <m/>
    <x v="0"/>
    <x v="0"/>
    <n v="733"/>
  </r>
  <r>
    <s v="C68"/>
    <s v="Chains 10k-18&quot;"/>
    <x v="0"/>
    <x v="0"/>
    <n v="2.8"/>
    <n v="50.8758087"/>
    <n v="142.45226435999999"/>
    <d v="2023-08-01T00:00:00"/>
    <n v="255"/>
    <n v="0"/>
    <n v="0"/>
    <n v="0"/>
    <m/>
    <x v="0"/>
    <x v="0"/>
    <n v="733"/>
  </r>
  <r>
    <s v="C69"/>
    <s v="Chains 10k-20&quot;"/>
    <x v="0"/>
    <x v="0"/>
    <n v="4.2"/>
    <n v="50.8758087"/>
    <n v="213.67839654000002"/>
    <d v="2023-08-01T00:00:00"/>
    <n v="395"/>
    <n v="0"/>
    <n v="0"/>
    <n v="0"/>
    <m/>
    <x v="0"/>
    <x v="0"/>
    <n v="733"/>
  </r>
  <r>
    <s v="C70"/>
    <s v="Chains 10k-18&quot;"/>
    <x v="0"/>
    <x v="0"/>
    <n v="6.3"/>
    <n v="50.8758087"/>
    <n v="320.51759480999999"/>
    <d v="2023-08-01T00:00:00"/>
    <n v="575"/>
    <m/>
    <n v="0"/>
    <n v="0"/>
    <m/>
    <x v="0"/>
    <x v="0"/>
    <n v="733"/>
  </r>
  <r>
    <s v="B71"/>
    <s v="Bracelet -Y"/>
    <x v="2"/>
    <x v="0"/>
    <n v="1.2"/>
    <n v="50.8758087"/>
    <n v="61.05097044"/>
    <d v="2023-08-01T00:00:00"/>
    <n v="120"/>
    <n v="100"/>
    <n v="38.94902956"/>
    <n v="0.38949029559999998"/>
    <s v="Preeti"/>
    <x v="16"/>
    <x v="1"/>
    <n v="371"/>
  </r>
  <r>
    <s v="B72"/>
    <s v="Bracelet -Y"/>
    <x v="2"/>
    <x v="0"/>
    <n v="1.4"/>
    <n v="50.8758087"/>
    <n v="71.226132179999993"/>
    <d v="2023-08-01T00:00:00"/>
    <n v="135"/>
    <n v="105"/>
    <n v="33.773867820000007"/>
    <n v="0.32165588400000006"/>
    <s v="Meenakshi"/>
    <x v="18"/>
    <x v="1"/>
    <n v="6"/>
  </r>
  <r>
    <s v="B73"/>
    <s v="Bracelet -W"/>
    <x v="2"/>
    <x v="1"/>
    <n v="1.5"/>
    <n v="50.8758087"/>
    <n v="76.313713050000004"/>
    <d v="2023-08-01T00:00:00"/>
    <n v="135"/>
    <n v="115"/>
    <n v="38.686286949999996"/>
    <n v="0.3364024952173913"/>
    <s v="Harjeet"/>
    <x v="19"/>
    <x v="1"/>
    <n v="11"/>
  </r>
  <r>
    <s v="B74"/>
    <s v="Bracelet -Solid"/>
    <x v="2"/>
    <x v="0"/>
    <n v="3.8"/>
    <n v="50.8758087"/>
    <n v="193.32807305999998"/>
    <d v="2023-08-01T00:00:00"/>
    <n v="345"/>
    <n v="0"/>
    <n v="0"/>
    <n v="0"/>
    <m/>
    <x v="0"/>
    <x v="0"/>
    <n v="733"/>
  </r>
  <r>
    <s v="B75"/>
    <s v="Bracelet -Solid"/>
    <x v="2"/>
    <x v="0"/>
    <n v="9.1999999999999993"/>
    <n v="50.8758087"/>
    <n v="468.05744003999996"/>
    <d v="2023-08-01T00:00:00"/>
    <n v="695"/>
    <n v="0"/>
    <n v="0"/>
    <n v="0"/>
    <m/>
    <x v="0"/>
    <x v="0"/>
    <n v="733"/>
  </r>
  <r>
    <s v="B76"/>
    <s v="Bracelet -Solid"/>
    <x v="2"/>
    <x v="0"/>
    <n v="6.2"/>
    <n v="50.8758087"/>
    <n v="315.43001394000004"/>
    <d v="2023-08-01T00:00:00"/>
    <n v="575"/>
    <n v="0"/>
    <n v="0"/>
    <n v="0"/>
    <m/>
    <x v="0"/>
    <x v="0"/>
    <n v="733"/>
  </r>
  <r>
    <s v="P81"/>
    <s v="Pendant"/>
    <x v="3"/>
    <x v="0"/>
    <n v="1.2"/>
    <n v="50.8758087"/>
    <n v="61.05097044"/>
    <d v="2023-08-01T00:00:00"/>
    <n v="120"/>
    <n v="100"/>
    <n v="38.94902956"/>
    <n v="0.38949029559999998"/>
    <s v="Shikha"/>
    <x v="20"/>
    <x v="1"/>
    <n v="386"/>
  </r>
  <r>
    <s v="P82"/>
    <s v="Pendant"/>
    <x v="3"/>
    <x v="0"/>
    <n v="1.2"/>
    <n v="50.8758087"/>
    <n v="61.05097044"/>
    <d v="2023-08-01T00:00:00"/>
    <n v="115"/>
    <n v="0"/>
    <n v="0"/>
    <n v="0"/>
    <m/>
    <x v="0"/>
    <x v="0"/>
    <n v="733"/>
  </r>
  <r>
    <s v="P83"/>
    <s v="Pendant"/>
    <x v="3"/>
    <x v="0"/>
    <n v="1.3"/>
    <n v="50.8758087"/>
    <n v="66.138551309999997"/>
    <d v="2023-08-01T00:00:00"/>
    <n v="120"/>
    <n v="101.25"/>
    <n v="35.111448690000003"/>
    <n v="0.34677974014814816"/>
    <s v="Sudhir"/>
    <x v="21"/>
    <x v="1"/>
    <n v="490"/>
  </r>
  <r>
    <s v="P84"/>
    <s v="Pendant"/>
    <x v="3"/>
    <x v="0"/>
    <n v="0.5"/>
    <n v="50.8758087"/>
    <n v="25.43790435"/>
    <d v="2023-08-01T00:00:00"/>
    <n v="50"/>
    <n v="0"/>
    <n v="0"/>
    <n v="0"/>
    <m/>
    <x v="0"/>
    <x v="0"/>
    <n v="733"/>
  </r>
  <r>
    <s v="P85"/>
    <s v="Pendant"/>
    <x v="3"/>
    <x v="0"/>
    <n v="0.5"/>
    <n v="50.8758087"/>
    <n v="25.43790435"/>
    <d v="2023-08-01T00:00:00"/>
    <n v="50"/>
    <n v="40"/>
    <n v="14.56209565"/>
    <n v="0.36405239125"/>
    <s v="Esha"/>
    <x v="22"/>
    <x v="1"/>
    <n v="378"/>
  </r>
  <r>
    <s v="P86"/>
    <s v="Pendant"/>
    <x v="3"/>
    <x v="0"/>
    <n v="1.6"/>
    <n v="50.8758087"/>
    <n v="81.401293920000001"/>
    <d v="2023-08-01T00:00:00"/>
    <n v="145"/>
    <n v="0"/>
    <n v="0"/>
    <n v="0"/>
    <m/>
    <x v="0"/>
    <x v="0"/>
    <n v="733"/>
  </r>
  <r>
    <s v="P87"/>
    <s v="Pendant"/>
    <x v="3"/>
    <x v="0"/>
    <n v="1.7"/>
    <n v="50.8758087"/>
    <n v="86.488874789999997"/>
    <d v="2023-08-01T00:00:00"/>
    <n v="155"/>
    <n v="0"/>
    <n v="0"/>
    <n v="0"/>
    <m/>
    <x v="0"/>
    <x v="0"/>
    <n v="733"/>
  </r>
  <r>
    <s v="P88"/>
    <s v="Pendant"/>
    <x v="3"/>
    <x v="0"/>
    <n v="1.9"/>
    <n v="50.8758087"/>
    <n v="96.66403652999999"/>
    <d v="2023-08-01T00:00:00"/>
    <n v="175"/>
    <n v="0"/>
    <n v="0"/>
    <n v="0"/>
    <m/>
    <x v="0"/>
    <x v="0"/>
    <n v="733"/>
  </r>
  <r>
    <s v="P89"/>
    <s v="Pendant"/>
    <x v="3"/>
    <x v="0"/>
    <n v="2"/>
    <n v="50.8758087"/>
    <n v="101.7516174"/>
    <d v="2023-08-01T00:00:00"/>
    <n v="200"/>
    <n v="0"/>
    <n v="0"/>
    <n v="0"/>
    <m/>
    <x v="0"/>
    <x v="0"/>
    <n v="733"/>
  </r>
  <r>
    <s v="P90"/>
    <s v="Pendant"/>
    <x v="3"/>
    <x v="0"/>
    <n v="0.6"/>
    <n v="50.8758087"/>
    <n v="30.52548522"/>
    <d v="2023-08-01T00:00:00"/>
    <n v="65"/>
    <n v="58"/>
    <n v="27.47451478"/>
    <n v="0.47369853068965517"/>
    <s v="Jawahar"/>
    <x v="23"/>
    <x v="1"/>
    <n v="14"/>
  </r>
  <r>
    <s v="P91"/>
    <s v="Pendant"/>
    <x v="3"/>
    <x v="0"/>
    <n v="0.3"/>
    <n v="50.8758087"/>
    <n v="15.26274261"/>
    <d v="2023-08-01T00:00:00"/>
    <n v="50"/>
    <n v="50"/>
    <n v="34.737257389999996"/>
    <n v="0.69474514779999996"/>
    <s v="Dianne"/>
    <x v="8"/>
    <x v="1"/>
    <n v="32"/>
  </r>
  <r>
    <s v="E86"/>
    <s v="Fancy Hoops"/>
    <x v="1"/>
    <x v="0"/>
    <n v="2.2999999999999998"/>
    <n v="50.8758087"/>
    <n v="117.01436000999999"/>
    <d v="2023-08-01T00:00:00"/>
    <n v="225"/>
    <n v="200"/>
    <n v="82.98563999000001"/>
    <n v="0.41492819995000008"/>
    <s v="Prathamesh"/>
    <x v="24"/>
    <x v="1"/>
    <n v="124"/>
  </r>
  <r>
    <s v="R91"/>
    <s v="Rings"/>
    <x v="4"/>
    <x v="0"/>
    <n v="1.5"/>
    <n v="50.8758087"/>
    <n v="76.313713050000004"/>
    <d v="2023-08-01T00:00:00"/>
    <n v="150"/>
    <n v="0"/>
    <n v="0"/>
    <n v="0"/>
    <m/>
    <x v="0"/>
    <x v="0"/>
    <n v="733"/>
  </r>
  <r>
    <s v="R92"/>
    <s v="Rings"/>
    <x v="4"/>
    <x v="0"/>
    <n v="4.2"/>
    <n v="50.8758087"/>
    <n v="213.67839654000002"/>
    <d v="2023-08-01T00:00:00"/>
    <n v="375"/>
    <n v="0"/>
    <n v="0"/>
    <n v="0"/>
    <m/>
    <x v="0"/>
    <x v="0"/>
    <n v="733"/>
  </r>
  <r>
    <s v="R93"/>
    <s v="Rings"/>
    <x v="4"/>
    <x v="0"/>
    <n v="2.9"/>
    <n v="50.8758087"/>
    <n v="147.53984523"/>
    <d v="2023-08-01T00:00:00"/>
    <n v="275"/>
    <n v="0"/>
    <n v="0"/>
    <n v="0"/>
    <m/>
    <x v="0"/>
    <x v="0"/>
    <n v="733"/>
  </r>
  <r>
    <s v="R94"/>
    <s v="Rings"/>
    <x v="4"/>
    <x v="0"/>
    <n v="2"/>
    <n v="50.8758087"/>
    <n v="101.7516174"/>
    <d v="2023-08-01T00:00:00"/>
    <n v="225"/>
    <n v="0"/>
    <n v="0"/>
    <n v="0"/>
    <m/>
    <x v="0"/>
    <x v="0"/>
    <n v="733"/>
  </r>
  <r>
    <s v="R95"/>
    <s v="Rings"/>
    <x v="4"/>
    <x v="0"/>
    <n v="1.3"/>
    <n v="50.8758087"/>
    <n v="66.138551309999997"/>
    <d v="2023-08-01T00:00:00"/>
    <n v="150"/>
    <n v="135"/>
    <n v="68.861448690000003"/>
    <n v="0.51008480511111109"/>
    <s v="Gori"/>
    <x v="25"/>
    <x v="1"/>
    <n v="61"/>
  </r>
  <r>
    <s v="R96"/>
    <s v="Rings"/>
    <x v="4"/>
    <x v="0"/>
    <n v="3.6"/>
    <n v="50.8758087"/>
    <n v="183.15291132000002"/>
    <d v="2023-08-01T00:00:00"/>
    <n v="325"/>
    <n v="0"/>
    <n v="0"/>
    <n v="0"/>
    <m/>
    <x v="0"/>
    <x v="0"/>
    <n v="733"/>
  </r>
  <r>
    <s v="R97"/>
    <s v="Rings"/>
    <x v="4"/>
    <x v="0"/>
    <n v="4.0999999999999996"/>
    <n v="50.8758087"/>
    <n v="208.59081566999998"/>
    <d v="2023-08-01T00:00:00"/>
    <n v="375"/>
    <n v="375"/>
    <n v="166.40918433000002"/>
    <n v="0.44375782488000004"/>
    <s v="Param"/>
    <x v="26"/>
    <x v="1"/>
    <n v="380"/>
  </r>
  <r>
    <s v="R98"/>
    <s v="Rings"/>
    <x v="4"/>
    <x v="0"/>
    <n v="3.3"/>
    <n v="50.8758087"/>
    <n v="167.89016870999998"/>
    <d v="2023-08-01T00:00:00"/>
    <n v="360"/>
    <n v="0"/>
    <n v="0"/>
    <n v="0"/>
    <m/>
    <x v="0"/>
    <x v="0"/>
    <n v="733"/>
  </r>
  <r>
    <s v="R99"/>
    <s v="Rings"/>
    <x v="4"/>
    <x v="0"/>
    <n v="0.9"/>
    <n v="50.8758087"/>
    <n v="45.788227830000004"/>
    <d v="2023-08-01T00:00:00"/>
    <n v="95"/>
    <n v="80"/>
    <n v="34.211772169999996"/>
    <n v="0.42764715212499993"/>
    <s v="Richa"/>
    <x v="27"/>
    <x v="1"/>
    <n v="8"/>
  </r>
  <r>
    <s v="R100"/>
    <s v="Rings"/>
    <x v="4"/>
    <x v="0"/>
    <n v="1.9"/>
    <n v="50.8758087"/>
    <n v="96.66403652999999"/>
    <d v="2023-08-01T00:00:00"/>
    <n v="195"/>
    <n v="165"/>
    <n v="68.33596347000001"/>
    <n v="0.41415735436363643"/>
    <s v="Bunty"/>
    <x v="28"/>
    <x v="1"/>
    <n v="16"/>
  </r>
  <r>
    <s v="R101"/>
    <s v="Rings"/>
    <x v="4"/>
    <x v="0"/>
    <n v="1.8"/>
    <n v="50.8758087"/>
    <n v="91.576455660000008"/>
    <d v="2023-08-01T00:00:00"/>
    <n v="180"/>
    <n v="155"/>
    <n v="63.423544339999992"/>
    <n v="0.40918415703225802"/>
    <s v="Esha"/>
    <x v="4"/>
    <x v="1"/>
    <n v="12"/>
  </r>
  <r>
    <s v="R102"/>
    <s v="Rings"/>
    <x v="4"/>
    <x v="0"/>
    <n v="3.1"/>
    <n v="50.8758087"/>
    <n v="157.71500697000002"/>
    <d v="2023-08-01T00:00:00"/>
    <n v="280"/>
    <n v="0"/>
    <n v="0"/>
    <n v="0"/>
    <m/>
    <x v="0"/>
    <x v="0"/>
    <n v="733"/>
  </r>
  <r>
    <s v="R103"/>
    <s v="Rings"/>
    <x v="4"/>
    <x v="0"/>
    <n v="2.8"/>
    <n v="50.781455399999999"/>
    <n v="142.18807511999998"/>
    <d v="2023-08-29T00:00:00"/>
    <n v="265"/>
    <n v="0"/>
    <n v="0"/>
    <n v="0"/>
    <m/>
    <x v="0"/>
    <x v="0"/>
    <n v="705"/>
  </r>
  <r>
    <s v="R104"/>
    <s v="Rings"/>
    <x v="4"/>
    <x v="0"/>
    <n v="1.2"/>
    <n v="50.781455399999999"/>
    <n v="60.937746479999994"/>
    <d v="2023-08-29T00:00:00"/>
    <n v="120"/>
    <n v="0"/>
    <n v="0"/>
    <n v="0"/>
    <m/>
    <x v="0"/>
    <x v="0"/>
    <n v="705"/>
  </r>
  <r>
    <s v="R105"/>
    <s v="Rings"/>
    <x v="4"/>
    <x v="0"/>
    <n v="2.6"/>
    <n v="50.781455399999999"/>
    <n v="132.03178403999999"/>
    <d v="2023-08-29T00:00:00"/>
    <n v="260"/>
    <n v="0"/>
    <n v="0"/>
    <n v="0"/>
    <m/>
    <x v="0"/>
    <x v="0"/>
    <n v="705"/>
  </r>
  <r>
    <s v="R106"/>
    <s v="Rings"/>
    <x v="4"/>
    <x v="0"/>
    <n v="2.8"/>
    <n v="50.781455399999999"/>
    <n v="142.18807511999998"/>
    <d v="2023-08-29T00:00:00"/>
    <n v="295"/>
    <n v="0"/>
    <n v="0"/>
    <n v="0"/>
    <m/>
    <x v="0"/>
    <x v="0"/>
    <n v="705"/>
  </r>
  <r>
    <s v="R107"/>
    <s v="Rings"/>
    <x v="4"/>
    <x v="0"/>
    <n v="2"/>
    <n v="50.781455399999999"/>
    <n v="101.5629108"/>
    <d v="2023-08-29T00:00:00"/>
    <n v="200"/>
    <n v="0"/>
    <n v="0"/>
    <n v="0"/>
    <m/>
    <x v="0"/>
    <x v="0"/>
    <n v="705"/>
  </r>
  <r>
    <s v="R108"/>
    <s v="Rings"/>
    <x v="4"/>
    <x v="0"/>
    <n v="1.8"/>
    <n v="50.781455399999999"/>
    <n v="91.406619719999995"/>
    <d v="2023-08-29T00:00:00"/>
    <n v="180"/>
    <n v="0"/>
    <n v="0"/>
    <n v="0"/>
    <m/>
    <x v="0"/>
    <x v="0"/>
    <n v="705"/>
  </r>
  <r>
    <s v="B77"/>
    <s v="Bracelet-Y"/>
    <x v="2"/>
    <x v="0"/>
    <n v="4.7"/>
    <n v="50.781455399999999"/>
    <n v="238.67284038"/>
    <d v="2023-08-29T00:00:00"/>
    <n v="410"/>
    <n v="0"/>
    <n v="0"/>
    <n v="0"/>
    <m/>
    <x v="0"/>
    <x v="0"/>
    <n v="705"/>
  </r>
  <r>
    <s v="B78"/>
    <s v="Bracelet-W"/>
    <x v="2"/>
    <x v="1"/>
    <n v="4.7"/>
    <n v="50.781455399999999"/>
    <n v="238.67284038"/>
    <d v="2023-08-29T00:00:00"/>
    <n v="410"/>
    <n v="0"/>
    <n v="0"/>
    <n v="0"/>
    <m/>
    <x v="0"/>
    <x v="0"/>
    <n v="705"/>
  </r>
  <r>
    <s v="C74"/>
    <s v="Chain 10k 10' -Child Y"/>
    <x v="2"/>
    <x v="0"/>
    <n v="1.2"/>
    <n v="50.781455399999999"/>
    <n v="60.937746479999994"/>
    <d v="2023-08-29T00:00:00"/>
    <n v="125"/>
    <n v="0"/>
    <n v="0"/>
    <n v="0"/>
    <m/>
    <x v="0"/>
    <x v="0"/>
    <n v="705"/>
  </r>
  <r>
    <s v="C75"/>
    <s v="Chain 10k 10' -Child W"/>
    <x v="2"/>
    <x v="0"/>
    <n v="1.3"/>
    <n v="50.781455399999999"/>
    <n v="66.015892019999995"/>
    <d v="2023-08-29T00:00:00"/>
    <n v="125"/>
    <n v="0"/>
    <n v="0"/>
    <n v="0"/>
    <m/>
    <x v="0"/>
    <x v="0"/>
    <n v="705"/>
  </r>
  <r>
    <s v="B81"/>
    <s v="Bracelet-Y"/>
    <x v="2"/>
    <x v="0"/>
    <n v="1.4"/>
    <n v="50.781455399999999"/>
    <n v="71.09403755999999"/>
    <d v="2023-08-29T00:00:00"/>
    <n v="145"/>
    <n v="0"/>
    <n v="0"/>
    <n v="0"/>
    <m/>
    <x v="0"/>
    <x v="0"/>
    <n v="705"/>
  </r>
  <r>
    <s v="B82"/>
    <s v="Bracelet-W"/>
    <x v="2"/>
    <x v="1"/>
    <n v="1.4"/>
    <n v="50.781455399999999"/>
    <n v="71.09403755999999"/>
    <d v="2023-08-29T00:00:00"/>
    <n v="145"/>
    <n v="0"/>
    <n v="0"/>
    <n v="0"/>
    <m/>
    <x v="0"/>
    <x v="0"/>
    <n v="705"/>
  </r>
  <r>
    <s v="B83"/>
    <s v="Bracelet-Y"/>
    <x v="2"/>
    <x v="0"/>
    <n v="1.4"/>
    <n v="50.781455399999999"/>
    <n v="71.09403755999999"/>
    <d v="2023-08-29T00:00:00"/>
    <n v="145"/>
    <n v="130"/>
    <n v="58.90596244000001"/>
    <n v="0.45312278800000005"/>
    <s v="Komal"/>
    <x v="29"/>
    <x v="1"/>
    <n v="73"/>
  </r>
  <r>
    <s v="B84"/>
    <s v="Bracelet-Y"/>
    <x v="2"/>
    <x v="0"/>
    <n v="1.4"/>
    <n v="50.781455399999999"/>
    <n v="71.09403755999999"/>
    <d v="2023-08-29T00:00:00"/>
    <n v="145"/>
    <n v="125"/>
    <n v="53.90596244000001"/>
    <n v="0.43124769952000008"/>
    <s v="Kesar"/>
    <x v="30"/>
    <x v="1"/>
    <n v="61"/>
  </r>
  <r>
    <s v="B85"/>
    <s v="Bracelet Solid-W"/>
    <x v="2"/>
    <x v="1"/>
    <n v="9.1999999999999993"/>
    <n v="50.781455399999999"/>
    <n v="467.18938967999998"/>
    <d v="2023-08-29T00:00:00"/>
    <n v="775"/>
    <n v="0"/>
    <n v="0"/>
    <n v="0"/>
    <m/>
    <x v="0"/>
    <x v="0"/>
    <n v="705"/>
  </r>
  <r>
    <s v="B86"/>
    <s v="Bracelet Solid-W"/>
    <x v="2"/>
    <x v="1"/>
    <n v="6.4"/>
    <n v="50.781455399999999"/>
    <n v="325.00131456000003"/>
    <d v="2023-08-29T00:00:00"/>
    <n v="575"/>
    <n v="0"/>
    <n v="0"/>
    <n v="0"/>
    <m/>
    <x v="0"/>
    <x v="0"/>
    <n v="705"/>
  </r>
  <r>
    <s v="B87"/>
    <s v="Bracelet-W"/>
    <x v="2"/>
    <x v="1"/>
    <n v="5"/>
    <n v="50.781455399999999"/>
    <n v="253.90727699999999"/>
    <d v="2023-08-29T00:00:00"/>
    <n v="460"/>
    <n v="0"/>
    <n v="0"/>
    <n v="0"/>
    <m/>
    <x v="0"/>
    <x v="0"/>
    <n v="705"/>
  </r>
  <r>
    <s v="B88"/>
    <s v="Bracelet-W"/>
    <x v="2"/>
    <x v="1"/>
    <n v="6.8"/>
    <n v="50.781455399999999"/>
    <n v="345.31389672"/>
    <d v="2023-08-29T00:00:00"/>
    <n v="535"/>
    <n v="0"/>
    <n v="0"/>
    <n v="0"/>
    <m/>
    <x v="0"/>
    <x v="0"/>
    <n v="705"/>
  </r>
  <r>
    <s v="B89"/>
    <s v="Bracelet-Y"/>
    <x v="2"/>
    <x v="0"/>
    <n v="6.7"/>
    <n v="50.781455399999999"/>
    <n v="340.23575118000002"/>
    <d v="2023-08-29T00:00:00"/>
    <n v="535"/>
    <n v="0"/>
    <n v="0"/>
    <n v="0"/>
    <m/>
    <x v="0"/>
    <x v="0"/>
    <n v="705"/>
  </r>
  <r>
    <s v="B90"/>
    <s v="Bracelet-Y"/>
    <x v="2"/>
    <x v="0"/>
    <n v="4.9000000000000004"/>
    <n v="50.781455399999999"/>
    <n v="248.82913146000001"/>
    <d v="2023-08-29T00:00:00"/>
    <n v="460"/>
    <n v="0"/>
    <n v="0"/>
    <n v="0"/>
    <m/>
    <x v="0"/>
    <x v="0"/>
    <n v="705"/>
  </r>
  <r>
    <s v="C71"/>
    <s v="Chain 10k 16' -RoseGold"/>
    <x v="0"/>
    <x v="0"/>
    <n v="2"/>
    <n v="50.781455399999999"/>
    <n v="101.5629108"/>
    <d v="2023-08-29T00:00:00"/>
    <n v="210"/>
    <n v="0"/>
    <n v="0"/>
    <n v="0"/>
    <m/>
    <x v="0"/>
    <x v="0"/>
    <n v="705"/>
  </r>
  <r>
    <s v="C72"/>
    <s v="Chain 10k 16' -W"/>
    <x v="0"/>
    <x v="1"/>
    <n v="1"/>
    <n v="50.781455399999999"/>
    <n v="50.781455399999999"/>
    <d v="2023-08-29T00:00:00"/>
    <n v="140"/>
    <n v="0"/>
    <n v="0"/>
    <n v="0"/>
    <m/>
    <x v="0"/>
    <x v="0"/>
    <n v="705"/>
  </r>
  <r>
    <s v="C73"/>
    <s v="Chain 10k 16' -Y"/>
    <x v="0"/>
    <x v="0"/>
    <n v="1.6"/>
    <n v="50.781455399999999"/>
    <n v="81.250328640000006"/>
    <d v="2023-08-29T00:00:00"/>
    <n v="175"/>
    <n v="148.75"/>
    <n v="67.499671359999994"/>
    <n v="0.45377930326050414"/>
    <s v="Sudhir"/>
    <x v="24"/>
    <x v="1"/>
    <n v="96"/>
  </r>
  <r>
    <s v="P92"/>
    <s v="Pendant-W"/>
    <x v="3"/>
    <x v="1"/>
    <n v="1.6"/>
    <n v="50.781455399999999"/>
    <n v="81.250328640000006"/>
    <d v="2023-08-29T00:00:00"/>
    <n v="160"/>
    <n v="0"/>
    <n v="0"/>
    <n v="0"/>
    <m/>
    <x v="0"/>
    <x v="0"/>
    <n v="705"/>
  </r>
  <r>
    <s v="P93"/>
    <s v="Pendant-Y"/>
    <x v="3"/>
    <x v="0"/>
    <n v="1.5"/>
    <n v="50.781455399999999"/>
    <n v="76.172183099999998"/>
    <d v="2023-08-29T00:00:00"/>
    <n v="150"/>
    <n v="135"/>
    <n v="58.827816900000002"/>
    <n v="0.43576160666666669"/>
    <s v="Gurpreet"/>
    <x v="31"/>
    <x v="1"/>
    <n v="576"/>
  </r>
  <r>
    <s v="P94"/>
    <s v="Pendant-Y"/>
    <x v="3"/>
    <x v="0"/>
    <n v="2.1"/>
    <n v="50.781455399999999"/>
    <n v="106.64105634000001"/>
    <d v="2023-08-29T00:00:00"/>
    <n v="210"/>
    <n v="0"/>
    <n v="0"/>
    <n v="0"/>
    <m/>
    <x v="0"/>
    <x v="0"/>
    <n v="705"/>
  </r>
  <r>
    <s v="P95"/>
    <s v="Pendant-W"/>
    <x v="3"/>
    <x v="1"/>
    <n v="1.8"/>
    <n v="50.781455399999999"/>
    <n v="91.406619719999995"/>
    <d v="2023-08-29T00:00:00"/>
    <n v="180"/>
    <n v="0"/>
    <n v="0"/>
    <n v="0"/>
    <m/>
    <x v="0"/>
    <x v="0"/>
    <n v="705"/>
  </r>
  <r>
    <s v="P96"/>
    <s v="Pendant-Y"/>
    <x v="3"/>
    <x v="0"/>
    <n v="1.1000000000000001"/>
    <n v="50.781455399999999"/>
    <n v="55.85960094"/>
    <d v="2023-08-29T00:00:00"/>
    <n v="110"/>
    <n v="56"/>
    <n v="0.14039906000000002"/>
    <n v="2.507126071428572E-3"/>
    <s v="Divya"/>
    <x v="5"/>
    <x v="1"/>
    <n v="11"/>
  </r>
  <r>
    <s v="P97"/>
    <s v="Pendant-Y"/>
    <x v="3"/>
    <x v="0"/>
    <n v="0.8"/>
    <n v="50.781455399999999"/>
    <n v="40.625164320000003"/>
    <d v="2023-08-29T00:00:00"/>
    <n v="80"/>
    <n v="0"/>
    <n v="0"/>
    <n v="0"/>
    <m/>
    <x v="0"/>
    <x v="0"/>
    <n v="705"/>
  </r>
  <r>
    <s v="P98"/>
    <s v="Pendant-Y"/>
    <x v="3"/>
    <x v="0"/>
    <n v="0.8"/>
    <n v="50.781455399999999"/>
    <n v="40.625164320000003"/>
    <d v="2023-08-29T00:00:00"/>
    <n v="80"/>
    <n v="80"/>
    <n v="39.374835679999997"/>
    <n v="0.49218544599999997"/>
    <s v="Connie"/>
    <x v="12"/>
    <x v="1"/>
    <n v="69"/>
  </r>
  <r>
    <s v="E86"/>
    <s v="Fancy Hoops"/>
    <x v="1"/>
    <x v="0"/>
    <n v="4.2"/>
    <n v="50.781455399999999"/>
    <n v="213.28211268000001"/>
    <d v="2023-08-29T00:00:00"/>
    <n v="380"/>
    <n v="0"/>
    <n v="0"/>
    <n v="0"/>
    <m/>
    <x v="0"/>
    <x v="0"/>
    <n v="705"/>
  </r>
  <r>
    <s v="T91"/>
    <s v="Fancy Tops"/>
    <x v="5"/>
    <x v="0"/>
    <n v="2.2000000000000002"/>
    <n v="50.781455399999999"/>
    <n v="111.71920188"/>
    <d v="2023-08-29T00:00:00"/>
    <n v="225"/>
    <n v="0"/>
    <n v="0"/>
    <n v="0"/>
    <m/>
    <x v="0"/>
    <x v="0"/>
    <n v="705"/>
  </r>
  <r>
    <s v="T92"/>
    <s v="Fancy Tops"/>
    <x v="5"/>
    <x v="0"/>
    <n v="2.2999999999999998"/>
    <n v="50.781455399999999"/>
    <n v="116.79734741999999"/>
    <d v="2023-08-29T00:00:00"/>
    <n v="225"/>
    <n v="0"/>
    <n v="0"/>
    <n v="0"/>
    <m/>
    <x v="0"/>
    <x v="0"/>
    <n v="705"/>
  </r>
  <r>
    <s v="T93"/>
    <s v="Fancy Tops"/>
    <x v="5"/>
    <x v="0"/>
    <n v="1.1000000000000001"/>
    <n v="50.781455399999999"/>
    <n v="55.85960094"/>
    <d v="2023-08-29T00:00:00"/>
    <n v="110"/>
    <n v="110"/>
    <n v="54.14039906"/>
    <n v="0.49218544600000003"/>
    <s v="Shobha"/>
    <x v="32"/>
    <x v="1"/>
    <n v="422"/>
  </r>
  <r>
    <s v="T94"/>
    <s v="Fancy Tops"/>
    <x v="5"/>
    <x v="0"/>
    <n v="1.4"/>
    <n v="50.781455399999999"/>
    <n v="71.09403755999999"/>
    <d v="2023-08-29T00:00:00"/>
    <n v="140"/>
    <n v="115"/>
    <n v="43.90596244000001"/>
    <n v="0.38179097773913051"/>
    <s v="Trish"/>
    <x v="33"/>
    <x v="1"/>
    <n v="552"/>
  </r>
  <r>
    <s v="T95"/>
    <s v="Fancy Tops"/>
    <x v="5"/>
    <x v="0"/>
    <n v="1.1000000000000001"/>
    <n v="50.781455399999999"/>
    <n v="55.85960094"/>
    <d v="2023-08-29T00:00:00"/>
    <n v="110"/>
    <n v="0"/>
    <n v="0"/>
    <n v="0"/>
    <m/>
    <x v="0"/>
    <x v="0"/>
    <n v="7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1B546A-A054-014D-91A8-7E56C240AD68}" name="PivotTable3"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Month of Sale">
  <location ref="A41:B51" firstHeaderRow="1" firstDataRow="1" firstDataCol="1" rowPageCount="1" colPageCount="1"/>
  <pivotFields count="19">
    <pivotField showAll="0"/>
    <pivotField showAll="0"/>
    <pivotField showAll="0">
      <items count="7">
        <item x="2"/>
        <item x="0"/>
        <item x="1"/>
        <item x="5"/>
        <item x="3"/>
        <item x="4"/>
        <item t="default"/>
      </items>
    </pivotField>
    <pivotField showAll="0">
      <items count="3">
        <item x="0"/>
        <item x="1"/>
        <item t="default"/>
      </items>
    </pivotField>
    <pivotField showAll="0"/>
    <pivotField showAll="0"/>
    <pivotField showAll="0"/>
    <pivotField numFmtId="14" showAll="0"/>
    <pivotField showAll="0"/>
    <pivotField dataField="1" showAll="0"/>
    <pivotField showAll="0"/>
    <pivotField numFmtId="9" showAll="0"/>
    <pivotField showAll="0"/>
    <pivotField axis="axisRow" showAll="0">
      <items count="37">
        <item x="3"/>
        <item x="2"/>
        <item x="6"/>
        <item x="18"/>
        <item x="27"/>
        <item x="19"/>
        <item x="4"/>
        <item x="23"/>
        <item x="28"/>
        <item x="17"/>
        <item x="8"/>
        <item x="5"/>
        <item x="25"/>
        <item x="30"/>
        <item x="12"/>
        <item x="29"/>
        <item x="24"/>
        <item x="1"/>
        <item x="14"/>
        <item x="10"/>
        <item m="1" x="35"/>
        <item x="15"/>
        <item m="1" x="34"/>
        <item x="11"/>
        <item x="9"/>
        <item x="16"/>
        <item x="22"/>
        <item x="26"/>
        <item x="7"/>
        <item x="20"/>
        <item x="32"/>
        <item x="21"/>
        <item x="13"/>
        <item x="0"/>
        <item x="31"/>
        <item x="33"/>
        <item t="default"/>
      </items>
    </pivotField>
    <pivotField axis="axisPage" multipleItemSelectionAllowed="1" showAll="0">
      <items count="3">
        <item x="0"/>
        <item x="1"/>
        <item t="default"/>
      </items>
    </pivotField>
    <pivotField showAll="0"/>
    <pivotField axis="axisRow" showAll="0">
      <items count="15">
        <item h="1"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6">
        <item h="1" sd="0" x="0"/>
        <item sd="0" x="1"/>
        <item sd="0" x="2"/>
        <item h="1" x="3"/>
        <item h="1" x="4"/>
        <item t="default"/>
      </items>
    </pivotField>
  </pivotFields>
  <rowFields count="2">
    <field x="16"/>
    <field x="13"/>
  </rowFields>
  <rowItems count="10">
    <i>
      <x v="2"/>
    </i>
    <i>
      <x v="3"/>
    </i>
    <i>
      <x v="5"/>
    </i>
    <i>
      <x v="7"/>
    </i>
    <i>
      <x v="8"/>
    </i>
    <i>
      <x v="9"/>
    </i>
    <i>
      <x v="10"/>
    </i>
    <i>
      <x v="11"/>
    </i>
    <i>
      <x v="12"/>
    </i>
    <i t="grand">
      <x/>
    </i>
  </rowItems>
  <colItems count="1">
    <i/>
  </colItems>
  <pageFields count="1">
    <pageField fld="14" hier="-1"/>
  </pageFields>
  <dataFields count="1">
    <dataField name="Total Sale Price" fld="9" baseField="0" baseItem="0"/>
  </dataFields>
  <formats count="6">
    <format dxfId="8">
      <pivotArea type="all" dataOnly="0" outline="0" fieldPosition="0"/>
    </format>
    <format dxfId="7">
      <pivotArea outline="0" collapsedLevelsAreSubtotals="1" fieldPosition="0"/>
    </format>
    <format dxfId="6">
      <pivotArea field="16" type="button" dataOnly="0" labelOnly="1" outline="0" axis="axisRow" fieldPosition="0"/>
    </format>
    <format dxfId="5">
      <pivotArea dataOnly="0" labelOnly="1" fieldPosition="0">
        <references count="1">
          <reference field="16" count="9">
            <x v="2"/>
            <x v="3"/>
            <x v="5"/>
            <x v="7"/>
            <x v="8"/>
            <x v="9"/>
            <x v="10"/>
            <x v="11"/>
            <x v="12"/>
          </reference>
        </references>
      </pivotArea>
    </format>
    <format dxfId="4">
      <pivotArea dataOnly="0" labelOnly="1" grandRow="1" outline="0" fieldPosition="0"/>
    </format>
    <format dxfId="3">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CADF98-47CE-FC40-9412-1FA44810C206}" name="PivotTable2"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26:B33" firstHeaderRow="1" firstDataRow="1" firstDataCol="1" rowPageCount="1" colPageCount="1"/>
  <pivotFields count="19">
    <pivotField dataField="1" showAll="0"/>
    <pivotField showAll="0"/>
    <pivotField axis="axisRow" showAll="0">
      <items count="7">
        <item x="2"/>
        <item x="0"/>
        <item x="1"/>
        <item x="5"/>
        <item x="3"/>
        <item x="4"/>
        <item t="default"/>
      </items>
    </pivotField>
    <pivotField showAll="0">
      <items count="3">
        <item x="0"/>
        <item x="1"/>
        <item t="default"/>
      </items>
    </pivotField>
    <pivotField showAll="0"/>
    <pivotField showAll="0"/>
    <pivotField showAll="0"/>
    <pivotField numFmtId="14" showAll="0"/>
    <pivotField showAll="0"/>
    <pivotField showAll="0"/>
    <pivotField showAll="0"/>
    <pivotField numFmtId="9" showAll="0"/>
    <pivotField showAll="0"/>
    <pivotField showAll="0">
      <items count="37">
        <item x="3"/>
        <item x="2"/>
        <item x="6"/>
        <item x="18"/>
        <item x="27"/>
        <item x="19"/>
        <item x="4"/>
        <item x="23"/>
        <item x="28"/>
        <item x="17"/>
        <item x="8"/>
        <item x="5"/>
        <item x="25"/>
        <item x="30"/>
        <item x="12"/>
        <item x="29"/>
        <item x="24"/>
        <item x="1"/>
        <item x="14"/>
        <item x="10"/>
        <item m="1" x="35"/>
        <item x="15"/>
        <item m="1" x="34"/>
        <item x="11"/>
        <item x="9"/>
        <item x="16"/>
        <item x="22"/>
        <item x="26"/>
        <item x="7"/>
        <item x="20"/>
        <item x="32"/>
        <item x="21"/>
        <item x="13"/>
        <item x="0"/>
        <item x="31"/>
        <item x="33"/>
        <item t="default"/>
      </items>
    </pivotField>
    <pivotField axis="axisPage" multipleItemSelectionAllowed="1" showAll="0">
      <items count="3">
        <item x="0"/>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7">
    <i>
      <x/>
    </i>
    <i>
      <x v="1"/>
    </i>
    <i>
      <x v="2"/>
    </i>
    <i>
      <x v="3"/>
    </i>
    <i>
      <x v="4"/>
    </i>
    <i>
      <x v="5"/>
    </i>
    <i t="grand">
      <x/>
    </i>
  </rowItems>
  <colItems count="1">
    <i/>
  </colItems>
  <pageFields count="1">
    <pageField fld="14" hier="-1"/>
  </pageFields>
  <dataFields count="1">
    <dataField name="Count of ProductID" fld="0" subtotal="count" baseField="0" baseItem="0"/>
  </dataFields>
  <formats count="6">
    <format dxfId="14">
      <pivotArea type="all" dataOnly="0" outline="0" fieldPosition="0"/>
    </format>
    <format dxfId="13">
      <pivotArea outline="0" collapsedLevelsAreSubtotals="1" fieldPosition="0"/>
    </format>
    <format dxfId="12">
      <pivotArea field="2" type="button" dataOnly="0" labelOnly="1" outline="0" axis="axisRow" fieldPosition="0"/>
    </format>
    <format dxfId="11">
      <pivotArea dataOnly="0" labelOnly="1" fieldPosition="0">
        <references count="1">
          <reference field="2" count="0"/>
        </references>
      </pivotArea>
    </format>
    <format dxfId="10">
      <pivotArea dataOnly="0" labelOnly="1" grandRow="1" outline="0" fieldPosition="0"/>
    </format>
    <format dxfId="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180E4C4-3471-8B44-BC33-1236FD67F6BD}" name="PivotTable1"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16:B19" firstHeaderRow="1" firstDataRow="1" firstDataCol="1" rowPageCount="1" colPageCount="1"/>
  <pivotFields count="19">
    <pivotField showAll="0"/>
    <pivotField showAll="0"/>
    <pivotField showAll="0">
      <items count="7">
        <item x="2"/>
        <item x="0"/>
        <item x="1"/>
        <item x="5"/>
        <item x="3"/>
        <item x="4"/>
        <item t="default"/>
      </items>
    </pivotField>
    <pivotField axis="axisRow" showAll="0">
      <items count="3">
        <item x="0"/>
        <item x="1"/>
        <item t="default"/>
      </items>
    </pivotField>
    <pivotField showAll="0"/>
    <pivotField showAll="0"/>
    <pivotField showAll="0"/>
    <pivotField numFmtId="14" showAll="0"/>
    <pivotField showAll="0"/>
    <pivotField dataField="1" showAll="0"/>
    <pivotField showAll="0"/>
    <pivotField numFmtId="9" showAll="0"/>
    <pivotField showAll="0"/>
    <pivotField showAll="0">
      <items count="37">
        <item x="3"/>
        <item x="2"/>
        <item x="6"/>
        <item x="18"/>
        <item x="27"/>
        <item x="19"/>
        <item x="4"/>
        <item x="23"/>
        <item x="28"/>
        <item x="17"/>
        <item x="8"/>
        <item x="5"/>
        <item x="25"/>
        <item x="30"/>
        <item x="12"/>
        <item x="29"/>
        <item x="24"/>
        <item x="1"/>
        <item x="14"/>
        <item x="10"/>
        <item m="1" x="35"/>
        <item x="15"/>
        <item m="1" x="34"/>
        <item x="11"/>
        <item x="9"/>
        <item x="16"/>
        <item x="22"/>
        <item x="26"/>
        <item x="7"/>
        <item x="20"/>
        <item x="32"/>
        <item x="21"/>
        <item x="13"/>
        <item x="0"/>
        <item x="31"/>
        <item x="33"/>
        <item t="default"/>
      </items>
    </pivotField>
    <pivotField axis="axisPage" multipleItemSelectionAllowed="1" showAll="0">
      <items count="3">
        <item x="0"/>
        <item x="1"/>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3">
    <i>
      <x/>
    </i>
    <i>
      <x v="1"/>
    </i>
    <i t="grand">
      <x/>
    </i>
  </rowItems>
  <colItems count="1">
    <i/>
  </colItems>
  <pageFields count="1">
    <pageField fld="14" hier="-1"/>
  </pageFields>
  <dataFields count="1">
    <dataField name="Sum of SellingPrice" fld="9" baseField="0" baseItem="0"/>
  </dataFields>
  <formats count="6">
    <format dxfId="20">
      <pivotArea type="all" dataOnly="0" outline="0" fieldPosition="0"/>
    </format>
    <format dxfId="19">
      <pivotArea outline="0" collapsedLevelsAreSubtotals="1" fieldPosition="0"/>
    </format>
    <format dxfId="18">
      <pivotArea field="3" type="button" dataOnly="0" labelOnly="1" outline="0" axis="axisRow" fieldPosition="0"/>
    </format>
    <format dxfId="17">
      <pivotArea dataOnly="0" labelOnly="1" fieldPosition="0">
        <references count="1">
          <reference field="3" count="0"/>
        </references>
      </pivotArea>
    </format>
    <format dxfId="16">
      <pivotArea dataOnly="0" labelOnly="1" grandRow="1" outline="0" fieldPosition="0"/>
    </format>
    <format dxfId="15">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E4820D-A3B9-084B-BA7B-B8FA903356F7}" name="PivotTable4"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59:B66" firstHeaderRow="1" firstDataRow="1" firstDataCol="1" rowPageCount="1" colPageCount="1"/>
  <pivotFields count="19">
    <pivotField showAll="0"/>
    <pivotField showAll="0"/>
    <pivotField axis="axisRow" showAll="0">
      <items count="7">
        <item x="2"/>
        <item x="0"/>
        <item x="1"/>
        <item x="5"/>
        <item x="3"/>
        <item x="4"/>
        <item t="default"/>
      </items>
    </pivotField>
    <pivotField showAll="0">
      <items count="3">
        <item x="0"/>
        <item x="1"/>
        <item t="default"/>
      </items>
    </pivotField>
    <pivotField showAll="0"/>
    <pivotField showAll="0"/>
    <pivotField showAll="0"/>
    <pivotField numFmtId="14" showAll="0"/>
    <pivotField showAll="0"/>
    <pivotField showAll="0"/>
    <pivotField showAll="0"/>
    <pivotField numFmtId="9" showAll="0"/>
    <pivotField showAll="0"/>
    <pivotField showAll="0">
      <items count="37">
        <item x="3"/>
        <item x="2"/>
        <item x="6"/>
        <item x="18"/>
        <item x="27"/>
        <item x="19"/>
        <item x="4"/>
        <item x="23"/>
        <item x="28"/>
        <item x="17"/>
        <item x="8"/>
        <item x="5"/>
        <item x="25"/>
        <item x="30"/>
        <item x="12"/>
        <item x="29"/>
        <item x="24"/>
        <item x="1"/>
        <item x="14"/>
        <item x="10"/>
        <item m="1" x="35"/>
        <item x="15"/>
        <item m="1" x="34"/>
        <item x="11"/>
        <item x="9"/>
        <item x="16"/>
        <item x="22"/>
        <item x="26"/>
        <item x="7"/>
        <item x="20"/>
        <item x="32"/>
        <item x="21"/>
        <item x="13"/>
        <item x="0"/>
        <item x="31"/>
        <item x="33"/>
        <item t="default"/>
      </items>
    </pivotField>
    <pivotField axis="axisPage" multipleItemSelectionAllowed="1" showAll="0">
      <items count="3">
        <item x="0"/>
        <item x="1"/>
        <item t="default"/>
      </items>
    </pivotField>
    <pivotField dataField="1" showAll="0"/>
    <pivotField showAll="0" defaultSubtotal="0"/>
    <pivotField showAll="0" defaultSubtotal="0"/>
    <pivotField showAll="0" defaultSubtotal="0">
      <items count="5">
        <item x="0"/>
        <item x="1"/>
        <item x="2"/>
        <item x="3"/>
        <item x="4"/>
      </items>
    </pivotField>
  </pivotFields>
  <rowFields count="1">
    <field x="2"/>
  </rowFields>
  <rowItems count="7">
    <i>
      <x/>
    </i>
    <i>
      <x v="1"/>
    </i>
    <i>
      <x v="2"/>
    </i>
    <i>
      <x v="3"/>
    </i>
    <i>
      <x v="4"/>
    </i>
    <i>
      <x v="5"/>
    </i>
    <i t="grand">
      <x/>
    </i>
  </rowItems>
  <colItems count="1">
    <i/>
  </colItems>
  <pageFields count="1">
    <pageField fld="14" hier="-1"/>
  </pageFields>
  <dataFields count="1">
    <dataField name="Average of DaysInInventory" fld="15" subtotal="average" baseField="0" baseItem="0"/>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2"/>
          </reference>
        </references>
      </pivotArea>
    </chartFormat>
    <chartFormat chart="0" format="2">
      <pivotArea type="data" outline="0" fieldPosition="0">
        <references count="2">
          <reference field="4294967294" count="1" selected="0">
            <x v="0"/>
          </reference>
          <reference field="2" count="1" selected="0">
            <x v="0"/>
          </reference>
        </references>
      </pivotArea>
    </chartFormat>
    <chartFormat chart="0" format="3">
      <pivotArea type="data" outline="0" fieldPosition="0">
        <references count="2">
          <reference field="4294967294" count="1" selected="0">
            <x v="0"/>
          </reference>
          <reference field="2" count="1" selected="0">
            <x v="1"/>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585C5AB-D0CE-F64D-AC07-F510E2E73809}" name="PivotTable5" cacheId="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3:B80" firstHeaderRow="1" firstDataRow="1" firstDataCol="1" rowPageCount="1" colPageCount="1"/>
  <pivotFields count="19">
    <pivotField showAll="0"/>
    <pivotField showAll="0"/>
    <pivotField axis="axisRow" showAll="0">
      <items count="7">
        <item x="2"/>
        <item x="0"/>
        <item x="1"/>
        <item x="5"/>
        <item x="3"/>
        <item x="4"/>
        <item t="default"/>
      </items>
    </pivotField>
    <pivotField showAll="0"/>
    <pivotField showAll="0"/>
    <pivotField showAll="0"/>
    <pivotField showAll="0"/>
    <pivotField numFmtId="14" showAll="0"/>
    <pivotField showAll="0"/>
    <pivotField dataField="1" showAll="0"/>
    <pivotField showAll="0"/>
    <pivotField numFmtId="9" showAll="0"/>
    <pivotField showAll="0"/>
    <pivotField showAll="0">
      <items count="37">
        <item x="3"/>
        <item x="2"/>
        <item x="6"/>
        <item x="18"/>
        <item x="27"/>
        <item x="19"/>
        <item x="4"/>
        <item x="23"/>
        <item x="28"/>
        <item x="17"/>
        <item x="8"/>
        <item x="5"/>
        <item x="25"/>
        <item x="30"/>
        <item x="12"/>
        <item x="29"/>
        <item x="24"/>
        <item x="1"/>
        <item x="14"/>
        <item x="10"/>
        <item m="1" x="35"/>
        <item x="15"/>
        <item m="1" x="34"/>
        <item x="11"/>
        <item x="9"/>
        <item x="16"/>
        <item x="22"/>
        <item x="26"/>
        <item x="7"/>
        <item x="20"/>
        <item x="32"/>
        <item x="21"/>
        <item x="13"/>
        <item x="33"/>
        <item x="31"/>
        <item x="0"/>
        <item t="default"/>
      </items>
    </pivotField>
    <pivotField axis="axisPage" multipleItemSelectionAllowed="1" showAll="0">
      <items count="3">
        <item h="1" x="0"/>
        <item x="1"/>
        <item t="default"/>
      </items>
    </pivotField>
    <pivotField showAll="0"/>
    <pivotField showAll="0" defaultSubtotal="0"/>
    <pivotField showAll="0" defaultSubtotal="0"/>
    <pivotField showAll="0" defaultSubtotal="0">
      <items count="5">
        <item x="0"/>
        <item x="1"/>
        <item x="2"/>
        <item x="3"/>
        <item x="4"/>
      </items>
    </pivotField>
  </pivotFields>
  <rowFields count="1">
    <field x="2"/>
  </rowFields>
  <rowItems count="7">
    <i>
      <x/>
    </i>
    <i>
      <x v="1"/>
    </i>
    <i>
      <x v="2"/>
    </i>
    <i>
      <x v="3"/>
    </i>
    <i>
      <x v="4"/>
    </i>
    <i>
      <x v="5"/>
    </i>
    <i t="grand">
      <x/>
    </i>
  </rowItems>
  <colItems count="1">
    <i/>
  </colItems>
  <pageFields count="1">
    <pageField fld="14" hier="-1"/>
  </pageFields>
  <dataFields count="1">
    <dataField name="Sum of SellingPrice"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0E490EC-7BDC-8249-8542-74398D8D1436}" sourceName="Category">
  <pivotTables>
    <pivotTable tabId="2" name="PivotTable1"/>
    <pivotTable tabId="2" name="PivotTable2"/>
    <pivotTable tabId="2" name="PivotTable3"/>
    <pivotTable tabId="2" name="PivotTable4"/>
  </pivotTables>
  <data>
    <tabular pivotCacheId="1380260379">
      <items count="6">
        <i x="2" s="1"/>
        <i x="0" s="1"/>
        <i x="1" s="1"/>
        <i x="5"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alType" xr10:uid="{08082348-2D3A-8441-86AC-792315A8A306}" sourceName="MetalType">
  <pivotTables>
    <pivotTable tabId="2" name="PivotTable1"/>
    <pivotTable tabId="2" name="PivotTable2"/>
    <pivotTable tabId="2" name="PivotTable3"/>
    <pivotTable tabId="2" name="PivotTable4"/>
  </pivotTables>
  <data>
    <tabular pivotCacheId="1380260379">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ckStatus" xr10:uid="{D91BCA0F-7DDD-9946-B251-E7AF95A6B8ED}" sourceName="StockStatus">
  <pivotTables>
    <pivotTable tabId="2" name="PivotTable1"/>
    <pivotTable tabId="2" name="PivotTable2"/>
    <pivotTable tabId="2" name="PivotTable3"/>
    <pivotTable tabId="2" name="PivotTable4"/>
  </pivotTables>
  <data>
    <tabular pivotCacheId="1380260379">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AC1A1B5-AFC1-774D-9835-B278624453EC}" cache="Slicer_Category" caption="Category" rowHeight="251883"/>
  <slicer name="MetalType" xr10:uid="{F864782F-F685-E64D-A485-B93D321656EF}" cache="Slicer_MetalType" caption="MetalType" rowHeight="251883"/>
  <slicer name="StockStatus" xr10:uid="{CE7BB6ED-7FDF-C648-86C3-DF843FF0972B}" cache="Slicer_StockStatus" caption="StockStatus"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0410D3-C24B-0047-8555-8F8E74C5EAF8}" name="Inventory" displayName="Inventory" ref="A1:P112" totalsRowShown="0" headerRowDxfId="41" dataDxfId="39" headerRowBorderDxfId="40" tableBorderDxfId="38" totalsRowBorderDxfId="37">
  <autoFilter ref="A1:P112" xr:uid="{590410D3-C24B-0047-8555-8F8E74C5EAF8}"/>
  <tableColumns count="16">
    <tableColumn id="1" xr3:uid="{78F5537F-68D2-BE47-9802-A8543633103E}" name="ProductID" dataDxfId="36"/>
    <tableColumn id="2" xr3:uid="{8C2B08DE-8AC6-2A48-943C-B979E8035CD5}" name="ProductName" dataDxfId="35"/>
    <tableColumn id="3" xr3:uid="{3792E368-5204-2F48-9155-81E1269DA379}" name="Category" dataDxfId="34"/>
    <tableColumn id="4" xr3:uid="{5532F379-6348-DE41-961A-060ACEE060B6}" name="MetalType" dataDxfId="33"/>
    <tableColumn id="5" xr3:uid="{FBE15576-0E1B-5E48-BC3A-F8F0A1A75E8B}" name="Weight(gm)" dataDxfId="32"/>
    <tableColumn id="6" xr3:uid="{DEA68EF9-6545-8844-9651-B99FFBD03848}" name="PurchasePrice/Gram" dataDxfId="31"/>
    <tableColumn id="7" xr3:uid="{CC5B7E87-1CE1-FF41-A621-05E79655F062}" name="TotalCost" dataDxfId="30"/>
    <tableColumn id="8" xr3:uid="{042C381A-E5EF-FB4F-9EAC-E36FD361D11A}" name="PurchaseDate" dataDxfId="29"/>
    <tableColumn id="9" xr3:uid="{16729DE8-6AB0-014C-8608-55C272D2C63F}" name="MarketPrice" dataDxfId="28"/>
    <tableColumn id="11" xr3:uid="{8D7C1194-1000-B344-B8AC-1BD5DF51B192}" name="SellingPrice" dataDxfId="27"/>
    <tableColumn id="16" xr3:uid="{980DDC42-602F-FD48-9BEE-8C52FDED7305}" name="GrossMargin" dataDxfId="26">
      <calculatedColumnFormula>IF(OR(Inventory[[#This Row],[SellingPrice]]=0, Inventory[[#This Row],[SellingPrice]]=""), 0, Inventory[[#This Row],[SellingPrice]] - Inventory[[#This Row],[TotalCost]])</calculatedColumnFormula>
    </tableColumn>
    <tableColumn id="17" xr3:uid="{2C6B0051-CA44-764D-86F9-B6B8BDE177EE}" name="MarginPercent" dataDxfId="25" dataCellStyle="Percent">
      <calculatedColumnFormula>IF(Inventory[[#This Row],[SellingPrice]]&gt;0, Inventory[[#This Row],[GrossMargin]]/Inventory[[#This Row],[SellingPrice]], 0)</calculatedColumnFormula>
    </tableColumn>
    <tableColumn id="12" xr3:uid="{885857CF-C4F4-0C48-A718-2FDBC842EA1C}" name="SoldTo" dataDxfId="24"/>
    <tableColumn id="13" xr3:uid="{310858F2-904E-B047-BC28-DB98EECD78B7}" name="SaleDate" dataDxfId="23"/>
    <tableColumn id="18" xr3:uid="{4DB023F0-2D6D-6644-919E-539F69AC1F3F}" name="StockStatus" dataDxfId="22">
      <calculatedColumnFormula>IF(AND(Inventory[[#This Row],[SellingPrice]]&lt;&gt;"", Inventory[[#This Row],[SellingPrice]]&gt;0), "Sold", "In Stock")</calculatedColumnFormula>
    </tableColumn>
    <tableColumn id="19" xr3:uid="{5297B6B3-AEED-F343-8305-0F1C8BE74941}" name="DaysInInventory" dataDxfId="21">
      <calculatedColumnFormula>IF(AND(Inventory[[#This Row],[StockStatus]]="Sold", ISNUMBER(Inventory[[#This Row],[SaleDate]])), Inventory[[#This Row],[SaleDate]] - Inventory[[#This Row],[PurchaseDate]], TODAY() - Inventory[[#This Row],[PurchaseDate]])</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9DC20-6A0A-E147-B796-4C0FBCEAE357}">
  <sheetPr codeName="Sheet1"/>
  <dimension ref="A1:P116"/>
  <sheetViews>
    <sheetView tabSelected="1" topLeftCell="B27" zoomScale="113" workbookViewId="0">
      <selection activeCell="H36" sqref="H36"/>
    </sheetView>
  </sheetViews>
  <sheetFormatPr baseColWidth="10" defaultRowHeight="16" x14ac:dyDescent="0.2"/>
  <cols>
    <col min="2" max="2" width="18.1640625" customWidth="1"/>
    <col min="4" max="4" width="7.33203125" customWidth="1"/>
    <col min="5" max="5" width="11.6640625" customWidth="1"/>
    <col min="6" max="6" width="12.83203125" customWidth="1"/>
    <col min="8" max="8" width="12.6640625" style="5" customWidth="1"/>
    <col min="9" max="9" width="11.5" customWidth="1"/>
    <col min="10" max="10" width="11.1640625" customWidth="1"/>
    <col min="11" max="11" width="11.1640625" style="43" customWidth="1"/>
    <col min="12" max="12" width="11.1640625" style="3" customWidth="1"/>
    <col min="13" max="13" width="13" customWidth="1"/>
    <col min="14" max="14" width="10.83203125" style="5"/>
    <col min="16" max="16" width="13.83203125" customWidth="1"/>
  </cols>
  <sheetData>
    <row r="1" spans="1:16" x14ac:dyDescent="0.2">
      <c r="A1" s="16" t="s">
        <v>156</v>
      </c>
      <c r="B1" s="17" t="s">
        <v>157</v>
      </c>
      <c r="C1" s="17" t="s">
        <v>0</v>
      </c>
      <c r="D1" s="17" t="s">
        <v>159</v>
      </c>
      <c r="E1" s="17" t="s">
        <v>163</v>
      </c>
      <c r="F1" s="17" t="s">
        <v>164</v>
      </c>
      <c r="G1" s="17" t="s">
        <v>162</v>
      </c>
      <c r="H1" s="18" t="s">
        <v>161</v>
      </c>
      <c r="I1" s="17" t="s">
        <v>166</v>
      </c>
      <c r="J1" s="17" t="s">
        <v>165</v>
      </c>
      <c r="K1" s="39" t="s">
        <v>179</v>
      </c>
      <c r="L1" s="19" t="s">
        <v>180</v>
      </c>
      <c r="M1" s="17" t="s">
        <v>211</v>
      </c>
      <c r="N1" s="18" t="s">
        <v>178</v>
      </c>
      <c r="O1" s="17" t="s">
        <v>181</v>
      </c>
      <c r="P1" s="20" t="s">
        <v>182</v>
      </c>
    </row>
    <row r="2" spans="1:16" x14ac:dyDescent="0.2">
      <c r="A2" s="21" t="s">
        <v>3</v>
      </c>
      <c r="B2" s="22" t="s">
        <v>2</v>
      </c>
      <c r="C2" s="22" t="s">
        <v>1</v>
      </c>
      <c r="D2" s="22" t="s">
        <v>158</v>
      </c>
      <c r="E2" s="22">
        <v>13.9</v>
      </c>
      <c r="F2" s="22">
        <v>48.872415050000001</v>
      </c>
      <c r="G2" s="22">
        <f>Inventory[[#This Row],[PurchasePrice/Gram]]*Inventory[[#This Row],[Weight(gm)]]</f>
        <v>679.32656919500005</v>
      </c>
      <c r="H2" s="23">
        <v>45091</v>
      </c>
      <c r="I2" s="22">
        <v>1500</v>
      </c>
      <c r="J2" s="22">
        <v>0</v>
      </c>
      <c r="K2" s="40">
        <f>IF(OR(Inventory[[#This Row],[SellingPrice]]=0, Inventory[[#This Row],[SellingPrice]]=""), 0, Inventory[[#This Row],[SellingPrice]] - Inventory[[#This Row],[TotalCost]])</f>
        <v>0</v>
      </c>
      <c r="L2" s="24">
        <f>IF(Inventory[[#This Row],[SellingPrice]]&gt;0, Inventory[[#This Row],[GrossMargin]]/Inventory[[#This Row],[SellingPrice]], 0)</f>
        <v>0</v>
      </c>
      <c r="M2" s="22"/>
      <c r="N2" s="23"/>
      <c r="O2" s="22" t="str">
        <f>IF(AND(Inventory[[#This Row],[SellingPrice]]&lt;&gt;"", Inventory[[#This Row],[SellingPrice]]&gt;0), "Sold", "In Stock")</f>
        <v>In Stock</v>
      </c>
      <c r="P2" s="25">
        <f ca="1">IF(AND(Inventory[[#This Row],[StockStatus]]="Sold", ISNUMBER(Inventory[[#This Row],[SaleDate]])), Inventory[[#This Row],[SaleDate]] - Inventory[[#This Row],[PurchaseDate]], TODAY() - Inventory[[#This Row],[PurchaseDate]])</f>
        <v>781</v>
      </c>
    </row>
    <row r="3" spans="1:16" x14ac:dyDescent="0.2">
      <c r="A3" s="21" t="s">
        <v>5</v>
      </c>
      <c r="B3" s="22" t="s">
        <v>4</v>
      </c>
      <c r="C3" s="22" t="s">
        <v>1</v>
      </c>
      <c r="D3" s="22" t="s">
        <v>158</v>
      </c>
      <c r="E3" s="22">
        <v>12.6</v>
      </c>
      <c r="F3" s="22">
        <v>48.872415050000001</v>
      </c>
      <c r="G3" s="22">
        <f>Inventory[[#This Row],[PurchasePrice/Gram]]*Inventory[[#This Row],[Weight(gm)]]</f>
        <v>615.79242963000002</v>
      </c>
      <c r="H3" s="23">
        <v>45091</v>
      </c>
      <c r="I3" s="22">
        <v>1300</v>
      </c>
      <c r="J3" s="22">
        <v>0</v>
      </c>
      <c r="K3" s="40">
        <f>IF(OR(Inventory[[#This Row],[SellingPrice]]=0, Inventory[[#This Row],[SellingPrice]]=""), 0, Inventory[[#This Row],[SellingPrice]] - Inventory[[#This Row],[TotalCost]])</f>
        <v>0</v>
      </c>
      <c r="L3" s="24">
        <f>IF(Inventory[[#This Row],[SellingPrice]]&gt;0, Inventory[[#This Row],[GrossMargin]]/Inventory[[#This Row],[SellingPrice]], 0)</f>
        <v>0</v>
      </c>
      <c r="M3" s="22"/>
      <c r="N3" s="23"/>
      <c r="O3" s="22" t="str">
        <f>IF(AND(Inventory[[#This Row],[SellingPrice]]&lt;&gt;"", Inventory[[#This Row],[SellingPrice]]&gt;0), "Sold", "In Stock")</f>
        <v>In Stock</v>
      </c>
      <c r="P3" s="25">
        <f ca="1">IF(AND(Inventory[[#This Row],[StockStatus]]="Sold", ISNUMBER(Inventory[[#This Row],[SaleDate]])), Inventory[[#This Row],[SaleDate]] - Inventory[[#This Row],[PurchaseDate]], TODAY() - Inventory[[#This Row],[PurchaseDate]])</f>
        <v>781</v>
      </c>
    </row>
    <row r="4" spans="1:16" x14ac:dyDescent="0.2">
      <c r="A4" s="21" t="s">
        <v>7</v>
      </c>
      <c r="B4" s="22" t="s">
        <v>6</v>
      </c>
      <c r="C4" s="22" t="s">
        <v>1</v>
      </c>
      <c r="D4" s="22" t="s">
        <v>158</v>
      </c>
      <c r="E4" s="22">
        <v>5.5</v>
      </c>
      <c r="F4" s="22">
        <v>48.872415050000001</v>
      </c>
      <c r="G4" s="22">
        <f>Inventory[[#This Row],[PurchasePrice/Gram]]*Inventory[[#This Row],[Weight(gm)]]</f>
        <v>268.79828277500002</v>
      </c>
      <c r="H4" s="23">
        <v>45091</v>
      </c>
      <c r="I4" s="22">
        <v>575</v>
      </c>
      <c r="J4" s="22">
        <v>520</v>
      </c>
      <c r="K4" s="40">
        <f>IF(OR(Inventory[[#This Row],[SellingPrice]]=0, Inventory[[#This Row],[SellingPrice]]=""), 0, Inventory[[#This Row],[SellingPrice]] - Inventory[[#This Row],[TotalCost]])</f>
        <v>251.20171722499998</v>
      </c>
      <c r="L4" s="24">
        <f>IF(Inventory[[#This Row],[SellingPrice]]&gt;0, Inventory[[#This Row],[GrossMargin]]/Inventory[[#This Row],[SellingPrice]], 0)</f>
        <v>0.48308022543269225</v>
      </c>
      <c r="M4" s="22" t="s">
        <v>8</v>
      </c>
      <c r="N4" s="23">
        <v>45264</v>
      </c>
      <c r="O4" s="22" t="str">
        <f>IF(AND(Inventory[[#This Row],[SellingPrice]]&lt;&gt;"", Inventory[[#This Row],[SellingPrice]]&gt;0), "Sold", "In Stock")</f>
        <v>Sold</v>
      </c>
      <c r="P4" s="25">
        <f ca="1">IF(AND(Inventory[[#This Row],[StockStatus]]="Sold", ISNUMBER(Inventory[[#This Row],[SaleDate]])), Inventory[[#This Row],[SaleDate]] - Inventory[[#This Row],[PurchaseDate]], TODAY() - Inventory[[#This Row],[PurchaseDate]])</f>
        <v>173</v>
      </c>
    </row>
    <row r="5" spans="1:16" x14ac:dyDescent="0.2">
      <c r="A5" s="21" t="s">
        <v>9</v>
      </c>
      <c r="B5" s="22" t="s">
        <v>6</v>
      </c>
      <c r="C5" s="22" t="s">
        <v>1</v>
      </c>
      <c r="D5" s="22" t="s">
        <v>158</v>
      </c>
      <c r="E5" s="22">
        <v>5.5</v>
      </c>
      <c r="F5" s="22">
        <v>48.872415050000001</v>
      </c>
      <c r="G5" s="22">
        <f>Inventory[[#This Row],[PurchasePrice/Gram]]*Inventory[[#This Row],[Weight(gm)]]</f>
        <v>268.79828277500002</v>
      </c>
      <c r="H5" s="23">
        <v>45091</v>
      </c>
      <c r="I5" s="22">
        <v>575</v>
      </c>
      <c r="J5" s="22">
        <v>0</v>
      </c>
      <c r="K5" s="40">
        <f>IF(OR(Inventory[[#This Row],[SellingPrice]]=0, Inventory[[#This Row],[SellingPrice]]=""), 0, Inventory[[#This Row],[SellingPrice]] - Inventory[[#This Row],[TotalCost]])</f>
        <v>0</v>
      </c>
      <c r="L5" s="24">
        <f>IF(Inventory[[#This Row],[SellingPrice]]&gt;0, Inventory[[#This Row],[GrossMargin]]/Inventory[[#This Row],[SellingPrice]], 0)</f>
        <v>0</v>
      </c>
      <c r="M5" s="22"/>
      <c r="N5" s="23"/>
      <c r="O5" s="22" t="str">
        <f>IF(AND(Inventory[[#This Row],[SellingPrice]]&lt;&gt;"", Inventory[[#This Row],[SellingPrice]]&gt;0), "Sold", "In Stock")</f>
        <v>In Stock</v>
      </c>
      <c r="P5" s="25">
        <f ca="1">IF(AND(Inventory[[#This Row],[StockStatus]]="Sold", ISNUMBER(Inventory[[#This Row],[SaleDate]])), Inventory[[#This Row],[SaleDate]] - Inventory[[#This Row],[PurchaseDate]], TODAY() - Inventory[[#This Row],[PurchaseDate]])</f>
        <v>781</v>
      </c>
    </row>
    <row r="6" spans="1:16" x14ac:dyDescent="0.2">
      <c r="A6" s="21" t="s">
        <v>10</v>
      </c>
      <c r="B6" s="22" t="s">
        <v>2</v>
      </c>
      <c r="C6" s="22" t="s">
        <v>1</v>
      </c>
      <c r="D6" s="22" t="s">
        <v>158</v>
      </c>
      <c r="E6" s="22">
        <v>5.2</v>
      </c>
      <c r="F6" s="22">
        <v>48.872415050000001</v>
      </c>
      <c r="G6" s="22">
        <f>Inventory[[#This Row],[PurchasePrice/Gram]]*Inventory[[#This Row],[Weight(gm)]]</f>
        <v>254.13655826000002</v>
      </c>
      <c r="H6" s="23">
        <v>45091</v>
      </c>
      <c r="I6" s="22">
        <v>525</v>
      </c>
      <c r="J6" s="22">
        <v>430</v>
      </c>
      <c r="K6" s="40">
        <f>IF(OR(Inventory[[#This Row],[SellingPrice]]=0, Inventory[[#This Row],[SellingPrice]]=""), 0, Inventory[[#This Row],[SellingPrice]] - Inventory[[#This Row],[TotalCost]])</f>
        <v>175.86344173999998</v>
      </c>
      <c r="L6" s="24">
        <f>IF(Inventory[[#This Row],[SellingPrice]]&gt;0, Inventory[[#This Row],[GrossMargin]]/Inventory[[#This Row],[SellingPrice]], 0)</f>
        <v>0.40898474823255809</v>
      </c>
      <c r="M6" s="22" t="s">
        <v>11</v>
      </c>
      <c r="N6" s="23">
        <v>45122</v>
      </c>
      <c r="O6" s="22" t="str">
        <f>IF(AND(Inventory[[#This Row],[SellingPrice]]&lt;&gt;"", Inventory[[#This Row],[SellingPrice]]&gt;0), "Sold", "In Stock")</f>
        <v>Sold</v>
      </c>
      <c r="P6" s="25">
        <f ca="1">IF(AND(Inventory[[#This Row],[StockStatus]]="Sold", ISNUMBER(Inventory[[#This Row],[SaleDate]])), Inventory[[#This Row],[SaleDate]] - Inventory[[#This Row],[PurchaseDate]], TODAY() - Inventory[[#This Row],[PurchaseDate]])</f>
        <v>31</v>
      </c>
    </row>
    <row r="7" spans="1:16" x14ac:dyDescent="0.2">
      <c r="A7" s="21" t="s">
        <v>13</v>
      </c>
      <c r="B7" s="22" t="s">
        <v>12</v>
      </c>
      <c r="C7" s="22" t="s">
        <v>1</v>
      </c>
      <c r="D7" s="22" t="s">
        <v>158</v>
      </c>
      <c r="E7" s="22">
        <v>1.8</v>
      </c>
      <c r="F7" s="22">
        <v>48.872415050000001</v>
      </c>
      <c r="G7" s="22">
        <f>Inventory[[#This Row],[PurchasePrice/Gram]]*Inventory[[#This Row],[Weight(gm)]]</f>
        <v>87.970347090000004</v>
      </c>
      <c r="H7" s="23">
        <v>45091</v>
      </c>
      <c r="I7" s="22">
        <v>250</v>
      </c>
      <c r="J7" s="22">
        <v>175</v>
      </c>
      <c r="K7" s="40">
        <f>IF(OR(Inventory[[#This Row],[SellingPrice]]=0, Inventory[[#This Row],[SellingPrice]]=""), 0, Inventory[[#This Row],[SellingPrice]] - Inventory[[#This Row],[TotalCost]])</f>
        <v>87.029652909999996</v>
      </c>
      <c r="L7" s="24">
        <f>IF(Inventory[[#This Row],[SellingPrice]]&gt;0, Inventory[[#This Row],[GrossMargin]]/Inventory[[#This Row],[SellingPrice]], 0)</f>
        <v>0.49731230234285712</v>
      </c>
      <c r="M7" s="22" t="s">
        <v>14</v>
      </c>
      <c r="N7" s="23">
        <v>45114</v>
      </c>
      <c r="O7" s="22" t="str">
        <f>IF(AND(Inventory[[#This Row],[SellingPrice]]&lt;&gt;"", Inventory[[#This Row],[SellingPrice]]&gt;0), "Sold", "In Stock")</f>
        <v>Sold</v>
      </c>
      <c r="P7" s="25">
        <f ca="1">IF(AND(Inventory[[#This Row],[StockStatus]]="Sold", ISNUMBER(Inventory[[#This Row],[SaleDate]])), Inventory[[#This Row],[SaleDate]] - Inventory[[#This Row],[PurchaseDate]], TODAY() - Inventory[[#This Row],[PurchaseDate]])</f>
        <v>23</v>
      </c>
    </row>
    <row r="8" spans="1:16" x14ac:dyDescent="0.2">
      <c r="A8" s="21" t="s">
        <v>15</v>
      </c>
      <c r="B8" s="22" t="s">
        <v>12</v>
      </c>
      <c r="C8" s="22" t="s">
        <v>1</v>
      </c>
      <c r="D8" s="22" t="s">
        <v>158</v>
      </c>
      <c r="E8" s="22">
        <v>1.9</v>
      </c>
      <c r="F8" s="22">
        <v>48.872415050000001</v>
      </c>
      <c r="G8" s="22">
        <f>Inventory[[#This Row],[PurchasePrice/Gram]]*Inventory[[#This Row],[Weight(gm)]]</f>
        <v>92.857588594999996</v>
      </c>
      <c r="H8" s="23">
        <v>45091</v>
      </c>
      <c r="I8" s="22">
        <v>250</v>
      </c>
      <c r="J8" s="22">
        <v>215</v>
      </c>
      <c r="K8" s="40">
        <f>IF(OR(Inventory[[#This Row],[SellingPrice]]=0, Inventory[[#This Row],[SellingPrice]]=""), 0, Inventory[[#This Row],[SellingPrice]] - Inventory[[#This Row],[TotalCost]])</f>
        <v>122.142411405</v>
      </c>
      <c r="L8" s="24">
        <f>IF(Inventory[[#This Row],[SellingPrice]]&gt;0, Inventory[[#This Row],[GrossMargin]]/Inventory[[#This Row],[SellingPrice]], 0)</f>
        <v>0.56810423909302332</v>
      </c>
      <c r="M8" s="22" t="s">
        <v>16</v>
      </c>
      <c r="N8" s="23">
        <v>45151</v>
      </c>
      <c r="O8" s="22" t="str">
        <f>IF(AND(Inventory[[#This Row],[SellingPrice]]&lt;&gt;"", Inventory[[#This Row],[SellingPrice]]&gt;0), "Sold", "In Stock")</f>
        <v>Sold</v>
      </c>
      <c r="P8" s="25">
        <f ca="1">IF(AND(Inventory[[#This Row],[StockStatus]]="Sold", ISNUMBER(Inventory[[#This Row],[SaleDate]])), Inventory[[#This Row],[SaleDate]] - Inventory[[#This Row],[PurchaseDate]], TODAY() - Inventory[[#This Row],[PurchaseDate]])</f>
        <v>60</v>
      </c>
    </row>
    <row r="9" spans="1:16" x14ac:dyDescent="0.2">
      <c r="A9" s="21" t="s">
        <v>18</v>
      </c>
      <c r="B9" s="22" t="s">
        <v>17</v>
      </c>
      <c r="C9" s="22" t="s">
        <v>1</v>
      </c>
      <c r="D9" s="22" t="s">
        <v>158</v>
      </c>
      <c r="E9" s="22">
        <v>2.2000000000000002</v>
      </c>
      <c r="F9" s="22">
        <v>48.872415050000001</v>
      </c>
      <c r="G9" s="22">
        <f>Inventory[[#This Row],[PurchasePrice/Gram]]*Inventory[[#This Row],[Weight(gm)]]</f>
        <v>107.51931311000001</v>
      </c>
      <c r="H9" s="23">
        <v>45091</v>
      </c>
      <c r="I9" s="22">
        <v>300</v>
      </c>
      <c r="J9" s="22">
        <v>0</v>
      </c>
      <c r="K9" s="40">
        <f>IF(OR(Inventory[[#This Row],[SellingPrice]]=0, Inventory[[#This Row],[SellingPrice]]=""), 0, Inventory[[#This Row],[SellingPrice]] - Inventory[[#This Row],[TotalCost]])</f>
        <v>0</v>
      </c>
      <c r="L9" s="24">
        <f>IF(Inventory[[#This Row],[SellingPrice]]&gt;0, Inventory[[#This Row],[GrossMargin]]/Inventory[[#This Row],[SellingPrice]], 0)</f>
        <v>0</v>
      </c>
      <c r="M9" s="22"/>
      <c r="N9" s="23"/>
      <c r="O9" s="22" t="str">
        <f>IF(AND(Inventory[[#This Row],[SellingPrice]]&lt;&gt;"", Inventory[[#This Row],[SellingPrice]]&gt;0), "Sold", "In Stock")</f>
        <v>In Stock</v>
      </c>
      <c r="P9" s="25">
        <f ca="1">IF(AND(Inventory[[#This Row],[StockStatus]]="Sold", ISNUMBER(Inventory[[#This Row],[SaleDate]])), Inventory[[#This Row],[SaleDate]] - Inventory[[#This Row],[PurchaseDate]], TODAY() - Inventory[[#This Row],[PurchaseDate]])</f>
        <v>781</v>
      </c>
    </row>
    <row r="10" spans="1:16" x14ac:dyDescent="0.2">
      <c r="A10" s="21" t="s">
        <v>20</v>
      </c>
      <c r="B10" s="22" t="s">
        <v>19</v>
      </c>
      <c r="C10" s="22" t="s">
        <v>1</v>
      </c>
      <c r="D10" s="22" t="s">
        <v>158</v>
      </c>
      <c r="E10" s="22">
        <v>2.1</v>
      </c>
      <c r="F10" s="22">
        <v>48.872415050000001</v>
      </c>
      <c r="G10" s="22">
        <f>Inventory[[#This Row],[PurchasePrice/Gram]]*Inventory[[#This Row],[Weight(gm)]]</f>
        <v>102.63207160500001</v>
      </c>
      <c r="H10" s="23">
        <v>45091</v>
      </c>
      <c r="I10" s="22">
        <v>275</v>
      </c>
      <c r="J10" s="22">
        <v>103</v>
      </c>
      <c r="K10" s="40">
        <f>IF(OR(Inventory[[#This Row],[SellingPrice]]=0, Inventory[[#This Row],[SellingPrice]]=""), 0, Inventory[[#This Row],[SellingPrice]] - Inventory[[#This Row],[TotalCost]])</f>
        <v>0.36792839499999275</v>
      </c>
      <c r="L10" s="24">
        <f>IF(Inventory[[#This Row],[SellingPrice]]&gt;0, Inventory[[#This Row],[GrossMargin]]/Inventory[[#This Row],[SellingPrice]], 0)</f>
        <v>3.572120339805755E-3</v>
      </c>
      <c r="M10" s="22" t="s">
        <v>167</v>
      </c>
      <c r="N10" s="23">
        <v>45178</v>
      </c>
      <c r="O10" s="22" t="str">
        <f>IF(AND(Inventory[[#This Row],[SellingPrice]]&lt;&gt;"", Inventory[[#This Row],[SellingPrice]]&gt;0), "Sold", "In Stock")</f>
        <v>Sold</v>
      </c>
      <c r="P10" s="25">
        <f ca="1">IF(AND(Inventory[[#This Row],[StockStatus]]="Sold", ISNUMBER(Inventory[[#This Row],[SaleDate]])), Inventory[[#This Row],[SaleDate]] - Inventory[[#This Row],[PurchaseDate]], TODAY() - Inventory[[#This Row],[PurchaseDate]])</f>
        <v>87</v>
      </c>
    </row>
    <row r="11" spans="1:16" x14ac:dyDescent="0.2">
      <c r="A11" s="21" t="s">
        <v>21</v>
      </c>
      <c r="B11" s="22" t="s">
        <v>17</v>
      </c>
      <c r="C11" s="22" t="s">
        <v>1</v>
      </c>
      <c r="D11" s="22" t="s">
        <v>158</v>
      </c>
      <c r="E11" s="22">
        <v>2.2999999999999998</v>
      </c>
      <c r="F11" s="22">
        <v>48.872415050000001</v>
      </c>
      <c r="G11" s="22">
        <f>Inventory[[#This Row],[PurchasePrice/Gram]]*Inventory[[#This Row],[Weight(gm)]]</f>
        <v>112.40655461499999</v>
      </c>
      <c r="H11" s="23">
        <v>45091</v>
      </c>
      <c r="I11" s="22">
        <v>300</v>
      </c>
      <c r="J11" s="22">
        <v>0</v>
      </c>
      <c r="K11" s="40">
        <f>IF(OR(Inventory[[#This Row],[SellingPrice]]=0, Inventory[[#This Row],[SellingPrice]]=""), 0, Inventory[[#This Row],[SellingPrice]] - Inventory[[#This Row],[TotalCost]])</f>
        <v>0</v>
      </c>
      <c r="L11" s="24">
        <f>IF(Inventory[[#This Row],[SellingPrice]]&gt;0, Inventory[[#This Row],[GrossMargin]]/Inventory[[#This Row],[SellingPrice]], 0)</f>
        <v>0</v>
      </c>
      <c r="M11" s="22"/>
      <c r="N11" s="23"/>
      <c r="O11" s="22" t="str">
        <f>IF(AND(Inventory[[#This Row],[SellingPrice]]&lt;&gt;"", Inventory[[#This Row],[SellingPrice]]&gt;0), "Sold", "In Stock")</f>
        <v>In Stock</v>
      </c>
      <c r="P11" s="25">
        <f ca="1">IF(AND(Inventory[[#This Row],[StockStatus]]="Sold", ISNUMBER(Inventory[[#This Row],[SaleDate]])), Inventory[[#This Row],[SaleDate]] - Inventory[[#This Row],[PurchaseDate]], TODAY() - Inventory[[#This Row],[PurchaseDate]])</f>
        <v>781</v>
      </c>
    </row>
    <row r="12" spans="1:16" x14ac:dyDescent="0.2">
      <c r="A12" s="21" t="s">
        <v>22</v>
      </c>
      <c r="B12" s="22" t="s">
        <v>19</v>
      </c>
      <c r="C12" s="22" t="s">
        <v>1</v>
      </c>
      <c r="D12" s="22" t="s">
        <v>158</v>
      </c>
      <c r="E12" s="22">
        <v>2.1</v>
      </c>
      <c r="F12" s="22">
        <v>48.872415050000001</v>
      </c>
      <c r="G12" s="22">
        <f>Inventory[[#This Row],[PurchasePrice/Gram]]*Inventory[[#This Row],[Weight(gm)]]</f>
        <v>102.63207160500001</v>
      </c>
      <c r="H12" s="23">
        <v>45091</v>
      </c>
      <c r="I12" s="22">
        <v>275</v>
      </c>
      <c r="J12" s="22">
        <v>0</v>
      </c>
      <c r="K12" s="40">
        <f>IF(OR(Inventory[[#This Row],[SellingPrice]]=0, Inventory[[#This Row],[SellingPrice]]=""), 0, Inventory[[#This Row],[SellingPrice]] - Inventory[[#This Row],[TotalCost]])</f>
        <v>0</v>
      </c>
      <c r="L12" s="24">
        <f>IF(Inventory[[#This Row],[SellingPrice]]&gt;0, Inventory[[#This Row],[GrossMargin]]/Inventory[[#This Row],[SellingPrice]], 0)</f>
        <v>0</v>
      </c>
      <c r="M12" s="22"/>
      <c r="N12" s="23"/>
      <c r="O12" s="22" t="str">
        <f>IF(AND(Inventory[[#This Row],[SellingPrice]]&lt;&gt;"", Inventory[[#This Row],[SellingPrice]]&gt;0), "Sold", "In Stock")</f>
        <v>In Stock</v>
      </c>
      <c r="P12" s="25">
        <f ca="1">IF(AND(Inventory[[#This Row],[StockStatus]]="Sold", ISNUMBER(Inventory[[#This Row],[SaleDate]])), Inventory[[#This Row],[SaleDate]] - Inventory[[#This Row],[PurchaseDate]], TODAY() - Inventory[[#This Row],[PurchaseDate]])</f>
        <v>781</v>
      </c>
    </row>
    <row r="13" spans="1:16" x14ac:dyDescent="0.2">
      <c r="A13" s="21" t="s">
        <v>25</v>
      </c>
      <c r="B13" s="22" t="s">
        <v>24</v>
      </c>
      <c r="C13" s="22" t="s">
        <v>23</v>
      </c>
      <c r="D13" s="22" t="s">
        <v>158</v>
      </c>
      <c r="E13" s="22">
        <v>2.2999999999999998</v>
      </c>
      <c r="F13" s="22">
        <v>48.872415050000001</v>
      </c>
      <c r="G13" s="22">
        <f>Inventory[[#This Row],[PurchasePrice/Gram]]*Inventory[[#This Row],[Weight(gm)]]</f>
        <v>112.40655461499999</v>
      </c>
      <c r="H13" s="23">
        <v>45091</v>
      </c>
      <c r="I13" s="22">
        <v>200</v>
      </c>
      <c r="J13" s="22">
        <v>0</v>
      </c>
      <c r="K13" s="40">
        <f>IF(OR(Inventory[[#This Row],[SellingPrice]]=0, Inventory[[#This Row],[SellingPrice]]=""), 0, Inventory[[#This Row],[SellingPrice]] - Inventory[[#This Row],[TotalCost]])</f>
        <v>0</v>
      </c>
      <c r="L13" s="24">
        <f>IF(Inventory[[#This Row],[SellingPrice]]&gt;0, Inventory[[#This Row],[GrossMargin]]/Inventory[[#This Row],[SellingPrice]], 0)</f>
        <v>0</v>
      </c>
      <c r="M13" s="22"/>
      <c r="N13" s="23"/>
      <c r="O13" s="22" t="str">
        <f>IF(AND(Inventory[[#This Row],[SellingPrice]]&lt;&gt;"", Inventory[[#This Row],[SellingPrice]]&gt;0), "Sold", "In Stock")</f>
        <v>In Stock</v>
      </c>
      <c r="P13" s="25">
        <f ca="1">IF(AND(Inventory[[#This Row],[StockStatus]]="Sold", ISNUMBER(Inventory[[#This Row],[SaleDate]])), Inventory[[#This Row],[SaleDate]] - Inventory[[#This Row],[PurchaseDate]], TODAY() - Inventory[[#This Row],[PurchaseDate]])</f>
        <v>781</v>
      </c>
    </row>
    <row r="14" spans="1:16" x14ac:dyDescent="0.2">
      <c r="A14" s="21" t="s">
        <v>26</v>
      </c>
      <c r="B14" s="22" t="s">
        <v>24</v>
      </c>
      <c r="C14" s="22" t="s">
        <v>23</v>
      </c>
      <c r="D14" s="22" t="s">
        <v>158</v>
      </c>
      <c r="E14" s="22">
        <v>2.5</v>
      </c>
      <c r="F14" s="22">
        <v>48.872415050000001</v>
      </c>
      <c r="G14" s="22">
        <f>Inventory[[#This Row],[PurchasePrice/Gram]]*Inventory[[#This Row],[Weight(gm)]]</f>
        <v>122.181037625</v>
      </c>
      <c r="H14" s="23">
        <v>45091</v>
      </c>
      <c r="I14" s="22">
        <v>225</v>
      </c>
      <c r="J14" s="22">
        <v>0</v>
      </c>
      <c r="K14" s="40">
        <f>IF(OR(Inventory[[#This Row],[SellingPrice]]=0, Inventory[[#This Row],[SellingPrice]]=""), 0, Inventory[[#This Row],[SellingPrice]] - Inventory[[#This Row],[TotalCost]])</f>
        <v>0</v>
      </c>
      <c r="L14" s="24">
        <f>IF(Inventory[[#This Row],[SellingPrice]]&gt;0, Inventory[[#This Row],[GrossMargin]]/Inventory[[#This Row],[SellingPrice]], 0)</f>
        <v>0</v>
      </c>
      <c r="M14" s="22"/>
      <c r="N14" s="23"/>
      <c r="O14" s="22" t="str">
        <f>IF(AND(Inventory[[#This Row],[SellingPrice]]&lt;&gt;"", Inventory[[#This Row],[SellingPrice]]&gt;0), "Sold", "In Stock")</f>
        <v>In Stock</v>
      </c>
      <c r="P14" s="25">
        <f ca="1">IF(AND(Inventory[[#This Row],[StockStatus]]="Sold", ISNUMBER(Inventory[[#This Row],[SaleDate]])), Inventory[[#This Row],[SaleDate]] - Inventory[[#This Row],[PurchaseDate]], TODAY() - Inventory[[#This Row],[PurchaseDate]])</f>
        <v>781</v>
      </c>
    </row>
    <row r="15" spans="1:16" x14ac:dyDescent="0.2">
      <c r="A15" s="21" t="s">
        <v>27</v>
      </c>
      <c r="B15" s="22" t="s">
        <v>24</v>
      </c>
      <c r="C15" s="22" t="s">
        <v>23</v>
      </c>
      <c r="D15" s="22" t="s">
        <v>158</v>
      </c>
      <c r="E15" s="22">
        <v>1.7</v>
      </c>
      <c r="F15" s="22">
        <v>48.872415050000001</v>
      </c>
      <c r="G15" s="22">
        <f>Inventory[[#This Row],[PurchasePrice/Gram]]*Inventory[[#This Row],[Weight(gm)]]</f>
        <v>83.083105584999998</v>
      </c>
      <c r="H15" s="23">
        <v>45091</v>
      </c>
      <c r="I15" s="22">
        <v>150</v>
      </c>
      <c r="J15" s="22">
        <v>0</v>
      </c>
      <c r="K15" s="40">
        <f>IF(OR(Inventory[[#This Row],[SellingPrice]]=0, Inventory[[#This Row],[SellingPrice]]=""), 0, Inventory[[#This Row],[SellingPrice]] - Inventory[[#This Row],[TotalCost]])</f>
        <v>0</v>
      </c>
      <c r="L15" s="24">
        <f>IF(Inventory[[#This Row],[SellingPrice]]&gt;0, Inventory[[#This Row],[GrossMargin]]/Inventory[[#This Row],[SellingPrice]], 0)</f>
        <v>0</v>
      </c>
      <c r="M15" s="22"/>
      <c r="N15" s="23"/>
      <c r="O15" s="22" t="str">
        <f>IF(AND(Inventory[[#This Row],[SellingPrice]]&lt;&gt;"", Inventory[[#This Row],[SellingPrice]]&gt;0), "Sold", "In Stock")</f>
        <v>In Stock</v>
      </c>
      <c r="P15" s="25">
        <f ca="1">IF(AND(Inventory[[#This Row],[StockStatus]]="Sold", ISNUMBER(Inventory[[#This Row],[SaleDate]])), Inventory[[#This Row],[SaleDate]] - Inventory[[#This Row],[PurchaseDate]], TODAY() - Inventory[[#This Row],[PurchaseDate]])</f>
        <v>781</v>
      </c>
    </row>
    <row r="16" spans="1:16" x14ac:dyDescent="0.2">
      <c r="A16" s="21" t="s">
        <v>28</v>
      </c>
      <c r="B16" s="22" t="s">
        <v>24</v>
      </c>
      <c r="C16" s="22" t="s">
        <v>23</v>
      </c>
      <c r="D16" s="22" t="s">
        <v>158</v>
      </c>
      <c r="E16" s="22">
        <v>3</v>
      </c>
      <c r="F16" s="22">
        <v>48.872415050000001</v>
      </c>
      <c r="G16" s="22">
        <f>Inventory[[#This Row],[PurchasePrice/Gram]]*Inventory[[#This Row],[Weight(gm)]]</f>
        <v>146.61724515</v>
      </c>
      <c r="H16" s="23">
        <v>45091</v>
      </c>
      <c r="I16" s="22">
        <v>265</v>
      </c>
      <c r="J16" s="22">
        <v>210</v>
      </c>
      <c r="K16" s="40">
        <f>IF(OR(Inventory[[#This Row],[SellingPrice]]=0, Inventory[[#This Row],[SellingPrice]]=""), 0, Inventory[[#This Row],[SellingPrice]] - Inventory[[#This Row],[TotalCost]])</f>
        <v>63.382754849999998</v>
      </c>
      <c r="L16" s="24">
        <f>IF(Inventory[[#This Row],[SellingPrice]]&gt;0, Inventory[[#This Row],[GrossMargin]]/Inventory[[#This Row],[SellingPrice]], 0)</f>
        <v>0.30182264214285714</v>
      </c>
      <c r="M16" s="22" t="s">
        <v>168</v>
      </c>
      <c r="N16" s="23">
        <v>45136</v>
      </c>
      <c r="O16" s="22" t="str">
        <f>IF(AND(Inventory[[#This Row],[SellingPrice]]&lt;&gt;"", Inventory[[#This Row],[SellingPrice]]&gt;0), "Sold", "In Stock")</f>
        <v>Sold</v>
      </c>
      <c r="P16" s="25">
        <f ca="1">IF(AND(Inventory[[#This Row],[StockStatus]]="Sold", ISNUMBER(Inventory[[#This Row],[SaleDate]])), Inventory[[#This Row],[SaleDate]] - Inventory[[#This Row],[PurchaseDate]], TODAY() - Inventory[[#This Row],[PurchaseDate]])</f>
        <v>45</v>
      </c>
    </row>
    <row r="17" spans="1:16" x14ac:dyDescent="0.2">
      <c r="A17" s="21" t="s">
        <v>29</v>
      </c>
      <c r="B17" s="22" t="s">
        <v>24</v>
      </c>
      <c r="C17" s="22" t="s">
        <v>23</v>
      </c>
      <c r="D17" s="22" t="s">
        <v>158</v>
      </c>
      <c r="E17" s="22">
        <v>1.7</v>
      </c>
      <c r="F17" s="22">
        <v>48.872415050000001</v>
      </c>
      <c r="G17" s="22">
        <f>Inventory[[#This Row],[PurchasePrice/Gram]]*Inventory[[#This Row],[Weight(gm)]]</f>
        <v>83.083105584999998</v>
      </c>
      <c r="H17" s="23">
        <v>45091</v>
      </c>
      <c r="I17" s="22">
        <v>180</v>
      </c>
      <c r="J17" s="22">
        <v>0</v>
      </c>
      <c r="K17" s="40">
        <f>IF(OR(Inventory[[#This Row],[SellingPrice]]=0, Inventory[[#This Row],[SellingPrice]]=""), 0, Inventory[[#This Row],[SellingPrice]] - Inventory[[#This Row],[TotalCost]])</f>
        <v>0</v>
      </c>
      <c r="L17" s="24">
        <f>IF(Inventory[[#This Row],[SellingPrice]]&gt;0, Inventory[[#This Row],[GrossMargin]]/Inventory[[#This Row],[SellingPrice]], 0)</f>
        <v>0</v>
      </c>
      <c r="M17" s="22"/>
      <c r="N17" s="23"/>
      <c r="O17" s="22" t="str">
        <f>IF(AND(Inventory[[#This Row],[SellingPrice]]&lt;&gt;"", Inventory[[#This Row],[SellingPrice]]&gt;0), "Sold", "In Stock")</f>
        <v>In Stock</v>
      </c>
      <c r="P17" s="25">
        <f ca="1">IF(AND(Inventory[[#This Row],[StockStatus]]="Sold", ISNUMBER(Inventory[[#This Row],[SaleDate]])), Inventory[[#This Row],[SaleDate]] - Inventory[[#This Row],[PurchaseDate]], TODAY() - Inventory[[#This Row],[PurchaseDate]])</f>
        <v>781</v>
      </c>
    </row>
    <row r="18" spans="1:16" x14ac:dyDescent="0.2">
      <c r="A18" s="21" t="s">
        <v>30</v>
      </c>
      <c r="B18" s="22" t="s">
        <v>24</v>
      </c>
      <c r="C18" s="22" t="s">
        <v>23</v>
      </c>
      <c r="D18" s="22" t="s">
        <v>158</v>
      </c>
      <c r="E18" s="22">
        <v>2.2999999999999998</v>
      </c>
      <c r="F18" s="22">
        <v>48.872415050000001</v>
      </c>
      <c r="G18" s="22">
        <f>Inventory[[#This Row],[PurchasePrice/Gram]]*Inventory[[#This Row],[Weight(gm)]]</f>
        <v>112.40655461499999</v>
      </c>
      <c r="H18" s="23">
        <v>45091</v>
      </c>
      <c r="I18" s="22">
        <v>200</v>
      </c>
      <c r="J18" s="22">
        <v>170</v>
      </c>
      <c r="K18" s="40">
        <f>IF(OR(Inventory[[#This Row],[SellingPrice]]=0, Inventory[[#This Row],[SellingPrice]]=""), 0, Inventory[[#This Row],[SellingPrice]] - Inventory[[#This Row],[TotalCost]])</f>
        <v>57.59344538500001</v>
      </c>
      <c r="L18" s="24">
        <f>IF(Inventory[[#This Row],[SellingPrice]]&gt;0, Inventory[[#This Row],[GrossMargin]]/Inventory[[#This Row],[SellingPrice]], 0)</f>
        <v>0.33878497285294124</v>
      </c>
      <c r="M18" s="22" t="s">
        <v>31</v>
      </c>
      <c r="N18" s="23">
        <v>45521</v>
      </c>
      <c r="O18" s="22" t="str">
        <f>IF(AND(Inventory[[#This Row],[SellingPrice]]&lt;&gt;"", Inventory[[#This Row],[SellingPrice]]&gt;0), "Sold", "In Stock")</f>
        <v>Sold</v>
      </c>
      <c r="P18" s="25">
        <f ca="1">IF(AND(Inventory[[#This Row],[StockStatus]]="Sold", ISNUMBER(Inventory[[#This Row],[SaleDate]])), Inventory[[#This Row],[SaleDate]] - Inventory[[#This Row],[PurchaseDate]], TODAY() - Inventory[[#This Row],[PurchaseDate]])</f>
        <v>430</v>
      </c>
    </row>
    <row r="19" spans="1:16" x14ac:dyDescent="0.2">
      <c r="A19" s="21" t="s">
        <v>32</v>
      </c>
      <c r="B19" s="22" t="s">
        <v>24</v>
      </c>
      <c r="C19" s="22" t="s">
        <v>23</v>
      </c>
      <c r="D19" s="22" t="s">
        <v>158</v>
      </c>
      <c r="E19" s="22">
        <v>2.2999999999999998</v>
      </c>
      <c r="F19" s="22">
        <v>48.872415050000001</v>
      </c>
      <c r="G19" s="22">
        <f>Inventory[[#This Row],[PurchasePrice/Gram]]*Inventory[[#This Row],[Weight(gm)]]</f>
        <v>112.40655461499999</v>
      </c>
      <c r="H19" s="23">
        <v>45091</v>
      </c>
      <c r="I19" s="22">
        <v>200</v>
      </c>
      <c r="J19" s="22">
        <v>0</v>
      </c>
      <c r="K19" s="40">
        <f>IF(OR(Inventory[[#This Row],[SellingPrice]]=0, Inventory[[#This Row],[SellingPrice]]=""), 0, Inventory[[#This Row],[SellingPrice]] - Inventory[[#This Row],[TotalCost]])</f>
        <v>0</v>
      </c>
      <c r="L19" s="24">
        <f>IF(Inventory[[#This Row],[SellingPrice]]&gt;0, Inventory[[#This Row],[GrossMargin]]/Inventory[[#This Row],[SellingPrice]], 0)</f>
        <v>0</v>
      </c>
      <c r="M19" s="22"/>
      <c r="N19" s="23"/>
      <c r="O19" s="22" t="str">
        <f>IF(AND(Inventory[[#This Row],[SellingPrice]]&lt;&gt;"", Inventory[[#This Row],[SellingPrice]]&gt;0), "Sold", "In Stock")</f>
        <v>In Stock</v>
      </c>
      <c r="P19" s="25">
        <f ca="1">IF(AND(Inventory[[#This Row],[StockStatus]]="Sold", ISNUMBER(Inventory[[#This Row],[SaleDate]])), Inventory[[#This Row],[SaleDate]] - Inventory[[#This Row],[PurchaseDate]], TODAY() - Inventory[[#This Row],[PurchaseDate]])</f>
        <v>781</v>
      </c>
    </row>
    <row r="20" spans="1:16" x14ac:dyDescent="0.2">
      <c r="A20" s="21" t="s">
        <v>33</v>
      </c>
      <c r="B20" s="22" t="s">
        <v>24</v>
      </c>
      <c r="C20" s="22" t="s">
        <v>23</v>
      </c>
      <c r="D20" s="22" t="s">
        <v>158</v>
      </c>
      <c r="E20" s="22">
        <v>2.2999999999999998</v>
      </c>
      <c r="F20" s="22">
        <v>48.872415050000001</v>
      </c>
      <c r="G20" s="22">
        <f>Inventory[[#This Row],[PurchasePrice/Gram]]*Inventory[[#This Row],[Weight(gm)]]</f>
        <v>112.40655461499999</v>
      </c>
      <c r="H20" s="23">
        <v>45091</v>
      </c>
      <c r="I20" s="22">
        <v>200</v>
      </c>
      <c r="J20" s="22">
        <v>0</v>
      </c>
      <c r="K20" s="40">
        <f>IF(OR(Inventory[[#This Row],[SellingPrice]]=0, Inventory[[#This Row],[SellingPrice]]=""), 0, Inventory[[#This Row],[SellingPrice]] - Inventory[[#This Row],[TotalCost]])</f>
        <v>0</v>
      </c>
      <c r="L20" s="24">
        <f>IF(Inventory[[#This Row],[SellingPrice]]&gt;0, Inventory[[#This Row],[GrossMargin]]/Inventory[[#This Row],[SellingPrice]], 0)</f>
        <v>0</v>
      </c>
      <c r="M20" s="22"/>
      <c r="N20" s="23"/>
      <c r="O20" s="22" t="str">
        <f>IF(AND(Inventory[[#This Row],[SellingPrice]]&lt;&gt;"", Inventory[[#This Row],[SellingPrice]]&gt;0), "Sold", "In Stock")</f>
        <v>In Stock</v>
      </c>
      <c r="P20" s="25">
        <f ca="1">IF(AND(Inventory[[#This Row],[StockStatus]]="Sold", ISNUMBER(Inventory[[#This Row],[SaleDate]])), Inventory[[#This Row],[SaleDate]] - Inventory[[#This Row],[PurchaseDate]], TODAY() - Inventory[[#This Row],[PurchaseDate]])</f>
        <v>781</v>
      </c>
    </row>
    <row r="21" spans="1:16" x14ac:dyDescent="0.2">
      <c r="A21" s="21" t="s">
        <v>34</v>
      </c>
      <c r="B21" s="22" t="s">
        <v>24</v>
      </c>
      <c r="C21" s="22" t="s">
        <v>23</v>
      </c>
      <c r="D21" s="22" t="s">
        <v>158</v>
      </c>
      <c r="E21" s="22">
        <v>1.2</v>
      </c>
      <c r="F21" s="22">
        <v>48.872415050000001</v>
      </c>
      <c r="G21" s="22">
        <f>Inventory[[#This Row],[PurchasePrice/Gram]]*Inventory[[#This Row],[Weight(gm)]]</f>
        <v>58.646898059999998</v>
      </c>
      <c r="H21" s="23">
        <v>45091</v>
      </c>
      <c r="I21" s="22">
        <v>100</v>
      </c>
      <c r="J21" s="22">
        <v>100</v>
      </c>
      <c r="K21" s="40">
        <f>IF(OR(Inventory[[#This Row],[SellingPrice]]=0, Inventory[[#This Row],[SellingPrice]]=""), 0, Inventory[[#This Row],[SellingPrice]] - Inventory[[#This Row],[TotalCost]])</f>
        <v>41.353101940000002</v>
      </c>
      <c r="L21" s="24">
        <f>IF(Inventory[[#This Row],[SellingPrice]]&gt;0, Inventory[[#This Row],[GrossMargin]]/Inventory[[#This Row],[SellingPrice]], 0)</f>
        <v>0.41353101940000003</v>
      </c>
      <c r="M21" s="22" t="s">
        <v>35</v>
      </c>
      <c r="N21" s="23">
        <v>45171</v>
      </c>
      <c r="O21" s="22" t="str">
        <f>IF(AND(Inventory[[#This Row],[SellingPrice]]&lt;&gt;"", Inventory[[#This Row],[SellingPrice]]&gt;0), "Sold", "In Stock")</f>
        <v>Sold</v>
      </c>
      <c r="P21" s="25">
        <f ca="1">IF(AND(Inventory[[#This Row],[StockStatus]]="Sold", ISNUMBER(Inventory[[#This Row],[SaleDate]])), Inventory[[#This Row],[SaleDate]] - Inventory[[#This Row],[PurchaseDate]], TODAY() - Inventory[[#This Row],[PurchaseDate]])</f>
        <v>80</v>
      </c>
    </row>
    <row r="22" spans="1:16" x14ac:dyDescent="0.2">
      <c r="A22" s="21" t="s">
        <v>36</v>
      </c>
      <c r="B22" s="22" t="s">
        <v>24</v>
      </c>
      <c r="C22" s="22" t="s">
        <v>23</v>
      </c>
      <c r="D22" s="22" t="s">
        <v>158</v>
      </c>
      <c r="E22" s="22">
        <v>2.5</v>
      </c>
      <c r="F22" s="22">
        <v>48.872415050000001</v>
      </c>
      <c r="G22" s="22">
        <f>Inventory[[#This Row],[PurchasePrice/Gram]]*Inventory[[#This Row],[Weight(gm)]]</f>
        <v>122.181037625</v>
      </c>
      <c r="H22" s="23">
        <v>45091</v>
      </c>
      <c r="I22" s="22">
        <v>240</v>
      </c>
      <c r="J22" s="22">
        <v>180</v>
      </c>
      <c r="K22" s="40">
        <f>IF(OR(Inventory[[#This Row],[SellingPrice]]=0, Inventory[[#This Row],[SellingPrice]]=""), 0, Inventory[[#This Row],[SellingPrice]] - Inventory[[#This Row],[TotalCost]])</f>
        <v>57.818962374999998</v>
      </c>
      <c r="L22" s="24">
        <f>IF(Inventory[[#This Row],[SellingPrice]]&gt;0, Inventory[[#This Row],[GrossMargin]]/Inventory[[#This Row],[SellingPrice]], 0)</f>
        <v>0.3212164576388889</v>
      </c>
      <c r="M22" s="22" t="s">
        <v>37</v>
      </c>
      <c r="N22" s="23">
        <v>45480</v>
      </c>
      <c r="O22" s="22" t="str">
        <f>IF(AND(Inventory[[#This Row],[SellingPrice]]&lt;&gt;"", Inventory[[#This Row],[SellingPrice]]&gt;0), "Sold", "In Stock")</f>
        <v>Sold</v>
      </c>
      <c r="P22" s="25">
        <f ca="1">IF(AND(Inventory[[#This Row],[StockStatus]]="Sold", ISNUMBER(Inventory[[#This Row],[SaleDate]])), Inventory[[#This Row],[SaleDate]] - Inventory[[#This Row],[PurchaseDate]], TODAY() - Inventory[[#This Row],[PurchaseDate]])</f>
        <v>389</v>
      </c>
    </row>
    <row r="23" spans="1:16" x14ac:dyDescent="0.2">
      <c r="A23" s="21" t="s">
        <v>38</v>
      </c>
      <c r="B23" s="22" t="s">
        <v>24</v>
      </c>
      <c r="C23" s="22" t="s">
        <v>23</v>
      </c>
      <c r="D23" s="22" t="s">
        <v>158</v>
      </c>
      <c r="E23" s="22">
        <v>3.2</v>
      </c>
      <c r="F23" s="22">
        <v>48.872415050000001</v>
      </c>
      <c r="G23" s="22">
        <f>Inventory[[#This Row],[PurchasePrice/Gram]]*Inventory[[#This Row],[Weight(gm)]]</f>
        <v>156.39172816000001</v>
      </c>
      <c r="H23" s="23">
        <v>45091</v>
      </c>
      <c r="I23" s="22">
        <v>300</v>
      </c>
      <c r="J23" s="22">
        <v>250</v>
      </c>
      <c r="K23" s="40">
        <f>IF(OR(Inventory[[#This Row],[SellingPrice]]=0, Inventory[[#This Row],[SellingPrice]]=""), 0, Inventory[[#This Row],[SellingPrice]] - Inventory[[#This Row],[TotalCost]])</f>
        <v>93.608271839999986</v>
      </c>
      <c r="L23" s="24">
        <f>IF(Inventory[[#This Row],[SellingPrice]]&gt;0, Inventory[[#This Row],[GrossMargin]]/Inventory[[#This Row],[SellingPrice]], 0)</f>
        <v>0.37443308735999997</v>
      </c>
      <c r="M23" s="22" t="s">
        <v>39</v>
      </c>
      <c r="N23" s="23">
        <v>45335</v>
      </c>
      <c r="O23" s="22" t="str">
        <f>IF(AND(Inventory[[#This Row],[SellingPrice]]&lt;&gt;"", Inventory[[#This Row],[SellingPrice]]&gt;0), "Sold", "In Stock")</f>
        <v>Sold</v>
      </c>
      <c r="P23" s="25">
        <f ca="1">IF(AND(Inventory[[#This Row],[StockStatus]]="Sold", ISNUMBER(Inventory[[#This Row],[SaleDate]])), Inventory[[#This Row],[SaleDate]] - Inventory[[#This Row],[PurchaseDate]], TODAY() - Inventory[[#This Row],[PurchaseDate]])</f>
        <v>244</v>
      </c>
    </row>
    <row r="24" spans="1:16" x14ac:dyDescent="0.2">
      <c r="A24" s="21" t="s">
        <v>40</v>
      </c>
      <c r="B24" s="22" t="s">
        <v>24</v>
      </c>
      <c r="C24" s="22" t="s">
        <v>23</v>
      </c>
      <c r="D24" s="22" t="s">
        <v>158</v>
      </c>
      <c r="E24" s="22">
        <v>1.7</v>
      </c>
      <c r="F24" s="22">
        <v>48.872415050000001</v>
      </c>
      <c r="G24" s="22">
        <f>Inventory[[#This Row],[PurchasePrice/Gram]]*Inventory[[#This Row],[Weight(gm)]]</f>
        <v>83.083105584999998</v>
      </c>
      <c r="H24" s="23">
        <v>45091</v>
      </c>
      <c r="I24" s="22">
        <v>180</v>
      </c>
      <c r="J24" s="22">
        <v>0</v>
      </c>
      <c r="K24" s="40">
        <f>IF(OR(Inventory[[#This Row],[SellingPrice]]=0, Inventory[[#This Row],[SellingPrice]]=""), 0, Inventory[[#This Row],[SellingPrice]] - Inventory[[#This Row],[TotalCost]])</f>
        <v>0</v>
      </c>
      <c r="L24" s="24">
        <f>IF(Inventory[[#This Row],[SellingPrice]]&gt;0, Inventory[[#This Row],[GrossMargin]]/Inventory[[#This Row],[SellingPrice]], 0)</f>
        <v>0</v>
      </c>
      <c r="M24" s="22"/>
      <c r="N24" s="23"/>
      <c r="O24" s="22" t="str">
        <f>IF(AND(Inventory[[#This Row],[SellingPrice]]&lt;&gt;"", Inventory[[#This Row],[SellingPrice]]&gt;0), "Sold", "In Stock")</f>
        <v>In Stock</v>
      </c>
      <c r="P24" s="25">
        <f ca="1">IF(AND(Inventory[[#This Row],[StockStatus]]="Sold", ISNUMBER(Inventory[[#This Row],[SaleDate]])), Inventory[[#This Row],[SaleDate]] - Inventory[[#This Row],[PurchaseDate]], TODAY() - Inventory[[#This Row],[PurchaseDate]])</f>
        <v>781</v>
      </c>
    </row>
    <row r="25" spans="1:16" x14ac:dyDescent="0.2">
      <c r="A25" s="21" t="s">
        <v>41</v>
      </c>
      <c r="B25" s="22" t="s">
        <v>24</v>
      </c>
      <c r="C25" s="22" t="s">
        <v>23</v>
      </c>
      <c r="D25" s="22" t="s">
        <v>158</v>
      </c>
      <c r="E25" s="22">
        <v>1.7</v>
      </c>
      <c r="F25" s="22">
        <v>48.872415050000001</v>
      </c>
      <c r="G25" s="22">
        <f>Inventory[[#This Row],[PurchasePrice/Gram]]*Inventory[[#This Row],[Weight(gm)]]</f>
        <v>83.083105584999998</v>
      </c>
      <c r="H25" s="23">
        <v>45091</v>
      </c>
      <c r="I25" s="22">
        <v>180</v>
      </c>
      <c r="J25" s="22">
        <v>0</v>
      </c>
      <c r="K25" s="40">
        <f>IF(OR(Inventory[[#This Row],[SellingPrice]]=0, Inventory[[#This Row],[SellingPrice]]=""), 0, Inventory[[#This Row],[SellingPrice]] - Inventory[[#This Row],[TotalCost]])</f>
        <v>0</v>
      </c>
      <c r="L25" s="24">
        <f>IF(Inventory[[#This Row],[SellingPrice]]&gt;0, Inventory[[#This Row],[GrossMargin]]/Inventory[[#This Row],[SellingPrice]], 0)</f>
        <v>0</v>
      </c>
      <c r="M25" s="22"/>
      <c r="N25" s="23"/>
      <c r="O25" s="22" t="str">
        <f>IF(AND(Inventory[[#This Row],[SellingPrice]]&lt;&gt;"", Inventory[[#This Row],[SellingPrice]]&gt;0), "Sold", "In Stock")</f>
        <v>In Stock</v>
      </c>
      <c r="P25" s="25">
        <f ca="1">IF(AND(Inventory[[#This Row],[StockStatus]]="Sold", ISNUMBER(Inventory[[#This Row],[SaleDate]])), Inventory[[#This Row],[SaleDate]] - Inventory[[#This Row],[PurchaseDate]], TODAY() - Inventory[[#This Row],[PurchaseDate]])</f>
        <v>781</v>
      </c>
    </row>
    <row r="26" spans="1:16" x14ac:dyDescent="0.2">
      <c r="A26" s="21" t="s">
        <v>42</v>
      </c>
      <c r="B26" s="22" t="s">
        <v>24</v>
      </c>
      <c r="C26" s="22" t="s">
        <v>23</v>
      </c>
      <c r="D26" s="22" t="s">
        <v>158</v>
      </c>
      <c r="E26" s="22">
        <v>1.7</v>
      </c>
      <c r="F26" s="22">
        <v>48.872415050000001</v>
      </c>
      <c r="G26" s="22">
        <f>Inventory[[#This Row],[PurchasePrice/Gram]]*Inventory[[#This Row],[Weight(gm)]]</f>
        <v>83.083105584999998</v>
      </c>
      <c r="H26" s="23">
        <v>45091</v>
      </c>
      <c r="I26" s="22">
        <v>180</v>
      </c>
      <c r="J26" s="22">
        <v>180</v>
      </c>
      <c r="K26" s="40">
        <f>IF(OR(Inventory[[#This Row],[SellingPrice]]=0, Inventory[[#This Row],[SellingPrice]]=""), 0, Inventory[[#This Row],[SellingPrice]] - Inventory[[#This Row],[TotalCost]])</f>
        <v>96.916894415000002</v>
      </c>
      <c r="L26" s="24">
        <f>IF(Inventory[[#This Row],[SellingPrice]]&gt;0, Inventory[[#This Row],[GrossMargin]]/Inventory[[#This Row],[SellingPrice]], 0)</f>
        <v>0.53842719119444449</v>
      </c>
      <c r="M26" s="22" t="s">
        <v>169</v>
      </c>
      <c r="N26" s="23">
        <v>45431</v>
      </c>
      <c r="O26" s="22" t="str">
        <f>IF(AND(Inventory[[#This Row],[SellingPrice]]&lt;&gt;"", Inventory[[#This Row],[SellingPrice]]&gt;0), "Sold", "In Stock")</f>
        <v>Sold</v>
      </c>
      <c r="P26" s="25">
        <f ca="1">IF(AND(Inventory[[#This Row],[StockStatus]]="Sold", ISNUMBER(Inventory[[#This Row],[SaleDate]])), Inventory[[#This Row],[SaleDate]] - Inventory[[#This Row],[PurchaseDate]], TODAY() - Inventory[[#This Row],[PurchaseDate]])</f>
        <v>340</v>
      </c>
    </row>
    <row r="27" spans="1:16" x14ac:dyDescent="0.2">
      <c r="A27" s="21" t="s">
        <v>43</v>
      </c>
      <c r="B27" s="22" t="s">
        <v>24</v>
      </c>
      <c r="C27" s="22" t="s">
        <v>23</v>
      </c>
      <c r="D27" s="22" t="s">
        <v>158</v>
      </c>
      <c r="E27" s="22">
        <v>4.3</v>
      </c>
      <c r="F27" s="22">
        <v>48.872415050000001</v>
      </c>
      <c r="G27" s="22">
        <f>Inventory[[#This Row],[PurchasePrice/Gram]]*Inventory[[#This Row],[Weight(gm)]]</f>
        <v>210.15138471500001</v>
      </c>
      <c r="H27" s="23">
        <v>45091</v>
      </c>
      <c r="I27" s="22">
        <v>350</v>
      </c>
      <c r="J27" s="22">
        <v>0</v>
      </c>
      <c r="K27" s="40">
        <f>IF(OR(Inventory[[#This Row],[SellingPrice]]=0, Inventory[[#This Row],[SellingPrice]]=""), 0, Inventory[[#This Row],[SellingPrice]] - Inventory[[#This Row],[TotalCost]])</f>
        <v>0</v>
      </c>
      <c r="L27" s="24">
        <f>IF(Inventory[[#This Row],[SellingPrice]]&gt;0, Inventory[[#This Row],[GrossMargin]]/Inventory[[#This Row],[SellingPrice]], 0)</f>
        <v>0</v>
      </c>
      <c r="M27" s="22"/>
      <c r="N27" s="23"/>
      <c r="O27" s="22" t="str">
        <f>IF(AND(Inventory[[#This Row],[SellingPrice]]&lt;&gt;"", Inventory[[#This Row],[SellingPrice]]&gt;0), "Sold", "In Stock")</f>
        <v>In Stock</v>
      </c>
      <c r="P27" s="25">
        <f ca="1">IF(AND(Inventory[[#This Row],[StockStatus]]="Sold", ISNUMBER(Inventory[[#This Row],[SaleDate]])), Inventory[[#This Row],[SaleDate]] - Inventory[[#This Row],[PurchaseDate]], TODAY() - Inventory[[#This Row],[PurchaseDate]])</f>
        <v>781</v>
      </c>
    </row>
    <row r="28" spans="1:16" x14ac:dyDescent="0.2">
      <c r="A28" s="21" t="s">
        <v>44</v>
      </c>
      <c r="B28" s="22" t="s">
        <v>24</v>
      </c>
      <c r="C28" s="22" t="s">
        <v>23</v>
      </c>
      <c r="D28" s="22" t="s">
        <v>158</v>
      </c>
      <c r="E28" s="22">
        <v>2.2999999999999998</v>
      </c>
      <c r="F28" s="22">
        <v>48.872415050000001</v>
      </c>
      <c r="G28" s="22">
        <f>Inventory[[#This Row],[PurchasePrice/Gram]]*Inventory[[#This Row],[Weight(gm)]]</f>
        <v>112.40655461499999</v>
      </c>
      <c r="H28" s="23">
        <v>45091</v>
      </c>
      <c r="I28" s="22">
        <v>225</v>
      </c>
      <c r="J28" s="22">
        <v>0</v>
      </c>
      <c r="K28" s="40">
        <f>IF(OR(Inventory[[#This Row],[SellingPrice]]=0, Inventory[[#This Row],[SellingPrice]]=""), 0, Inventory[[#This Row],[SellingPrice]] - Inventory[[#This Row],[TotalCost]])</f>
        <v>0</v>
      </c>
      <c r="L28" s="24">
        <f>IF(Inventory[[#This Row],[SellingPrice]]&gt;0, Inventory[[#This Row],[GrossMargin]]/Inventory[[#This Row],[SellingPrice]], 0)</f>
        <v>0</v>
      </c>
      <c r="M28" s="22"/>
      <c r="N28" s="23"/>
      <c r="O28" s="22" t="str">
        <f>IF(AND(Inventory[[#This Row],[SellingPrice]]&lt;&gt;"", Inventory[[#This Row],[SellingPrice]]&gt;0), "Sold", "In Stock")</f>
        <v>In Stock</v>
      </c>
      <c r="P28" s="25">
        <f ca="1">IF(AND(Inventory[[#This Row],[StockStatus]]="Sold", ISNUMBER(Inventory[[#This Row],[SaleDate]])), Inventory[[#This Row],[SaleDate]] - Inventory[[#This Row],[PurchaseDate]], TODAY() - Inventory[[#This Row],[PurchaseDate]])</f>
        <v>781</v>
      </c>
    </row>
    <row r="29" spans="1:16" x14ac:dyDescent="0.2">
      <c r="A29" s="21" t="s">
        <v>45</v>
      </c>
      <c r="B29" s="22" t="s">
        <v>24</v>
      </c>
      <c r="C29" s="22" t="s">
        <v>23</v>
      </c>
      <c r="D29" s="22" t="s">
        <v>158</v>
      </c>
      <c r="E29" s="22">
        <v>2.4</v>
      </c>
      <c r="F29" s="22">
        <v>48.872415050000001</v>
      </c>
      <c r="G29" s="22">
        <f>Inventory[[#This Row],[PurchasePrice/Gram]]*Inventory[[#This Row],[Weight(gm)]]</f>
        <v>117.29379612</v>
      </c>
      <c r="H29" s="23">
        <v>45091</v>
      </c>
      <c r="I29" s="22">
        <v>225</v>
      </c>
      <c r="J29" s="22">
        <v>0</v>
      </c>
      <c r="K29" s="40">
        <f>IF(OR(Inventory[[#This Row],[SellingPrice]]=0, Inventory[[#This Row],[SellingPrice]]=""), 0, Inventory[[#This Row],[SellingPrice]] - Inventory[[#This Row],[TotalCost]])</f>
        <v>0</v>
      </c>
      <c r="L29" s="24">
        <f>IF(Inventory[[#This Row],[SellingPrice]]&gt;0, Inventory[[#This Row],[GrossMargin]]/Inventory[[#This Row],[SellingPrice]], 0)</f>
        <v>0</v>
      </c>
      <c r="M29" s="22"/>
      <c r="N29" s="23"/>
      <c r="O29" s="22" t="str">
        <f>IF(AND(Inventory[[#This Row],[SellingPrice]]&lt;&gt;"", Inventory[[#This Row],[SellingPrice]]&gt;0), "Sold", "In Stock")</f>
        <v>In Stock</v>
      </c>
      <c r="P29" s="25">
        <f ca="1">IF(AND(Inventory[[#This Row],[StockStatus]]="Sold", ISNUMBER(Inventory[[#This Row],[SaleDate]])), Inventory[[#This Row],[SaleDate]] - Inventory[[#This Row],[PurchaseDate]], TODAY() - Inventory[[#This Row],[PurchaseDate]])</f>
        <v>781</v>
      </c>
    </row>
    <row r="30" spans="1:16" x14ac:dyDescent="0.2">
      <c r="A30" s="21" t="s">
        <v>46</v>
      </c>
      <c r="B30" s="22" t="s">
        <v>24</v>
      </c>
      <c r="C30" s="22" t="s">
        <v>23</v>
      </c>
      <c r="D30" s="22" t="s">
        <v>158</v>
      </c>
      <c r="E30" s="22">
        <v>3</v>
      </c>
      <c r="F30" s="22">
        <v>48.872415050000001</v>
      </c>
      <c r="G30" s="22">
        <f>Inventory[[#This Row],[PurchasePrice/Gram]]*Inventory[[#This Row],[Weight(gm)]]</f>
        <v>146.61724515</v>
      </c>
      <c r="H30" s="23">
        <v>45091</v>
      </c>
      <c r="I30" s="22">
        <v>240</v>
      </c>
      <c r="J30" s="22">
        <v>0</v>
      </c>
      <c r="K30" s="40">
        <f>IF(OR(Inventory[[#This Row],[SellingPrice]]=0, Inventory[[#This Row],[SellingPrice]]=""), 0, Inventory[[#This Row],[SellingPrice]] - Inventory[[#This Row],[TotalCost]])</f>
        <v>0</v>
      </c>
      <c r="L30" s="24">
        <f>IF(Inventory[[#This Row],[SellingPrice]]&gt;0, Inventory[[#This Row],[GrossMargin]]/Inventory[[#This Row],[SellingPrice]], 0)</f>
        <v>0</v>
      </c>
      <c r="M30" s="22"/>
      <c r="N30" s="23"/>
      <c r="O30" s="22" t="str">
        <f>IF(AND(Inventory[[#This Row],[SellingPrice]]&lt;&gt;"", Inventory[[#This Row],[SellingPrice]]&gt;0), "Sold", "In Stock")</f>
        <v>In Stock</v>
      </c>
      <c r="P30" s="25">
        <f ca="1">IF(AND(Inventory[[#This Row],[StockStatus]]="Sold", ISNUMBER(Inventory[[#This Row],[SaleDate]])), Inventory[[#This Row],[SaleDate]] - Inventory[[#This Row],[PurchaseDate]], TODAY() - Inventory[[#This Row],[PurchaseDate]])</f>
        <v>781</v>
      </c>
    </row>
    <row r="31" spans="1:16" x14ac:dyDescent="0.2">
      <c r="A31" s="21" t="s">
        <v>47</v>
      </c>
      <c r="B31" s="22" t="s">
        <v>24</v>
      </c>
      <c r="C31" s="22" t="s">
        <v>23</v>
      </c>
      <c r="D31" s="22" t="s">
        <v>158</v>
      </c>
      <c r="E31" s="22">
        <v>1.4</v>
      </c>
      <c r="F31" s="22">
        <v>48.872415050000001</v>
      </c>
      <c r="G31" s="22">
        <f>Inventory[[#This Row],[PurchasePrice/Gram]]*Inventory[[#This Row],[Weight(gm)]]</f>
        <v>68.421381069999995</v>
      </c>
      <c r="H31" s="23">
        <v>45091</v>
      </c>
      <c r="I31" s="22">
        <v>150</v>
      </c>
      <c r="J31" s="22">
        <v>150</v>
      </c>
      <c r="K31" s="40">
        <f>IF(OR(Inventory[[#This Row],[SellingPrice]]=0, Inventory[[#This Row],[SellingPrice]]=""), 0, Inventory[[#This Row],[SellingPrice]] - Inventory[[#This Row],[TotalCost]])</f>
        <v>81.578618930000005</v>
      </c>
      <c r="L31" s="24">
        <f>IF(Inventory[[#This Row],[SellingPrice]]&gt;0, Inventory[[#This Row],[GrossMargin]]/Inventory[[#This Row],[SellingPrice]], 0)</f>
        <v>0.54385745953333331</v>
      </c>
      <c r="M31" s="22" t="s">
        <v>170</v>
      </c>
      <c r="N31" s="23">
        <v>45236</v>
      </c>
      <c r="O31" s="22" t="str">
        <f>IF(AND(Inventory[[#This Row],[SellingPrice]]&lt;&gt;"", Inventory[[#This Row],[SellingPrice]]&gt;0), "Sold", "In Stock")</f>
        <v>Sold</v>
      </c>
      <c r="P31" s="25">
        <f ca="1">IF(AND(Inventory[[#This Row],[StockStatus]]="Sold", ISNUMBER(Inventory[[#This Row],[SaleDate]])), Inventory[[#This Row],[SaleDate]] - Inventory[[#This Row],[PurchaseDate]], TODAY() - Inventory[[#This Row],[PurchaseDate]])</f>
        <v>145</v>
      </c>
    </row>
    <row r="32" spans="1:16" x14ac:dyDescent="0.2">
      <c r="A32" s="21" t="s">
        <v>48</v>
      </c>
      <c r="B32" s="22" t="s">
        <v>24</v>
      </c>
      <c r="C32" s="22" t="s">
        <v>23</v>
      </c>
      <c r="D32" s="22" t="s">
        <v>158</v>
      </c>
      <c r="E32" s="22">
        <v>1.9</v>
      </c>
      <c r="F32" s="22">
        <v>48.872415050000001</v>
      </c>
      <c r="G32" s="22">
        <f>Inventory[[#This Row],[PurchasePrice/Gram]]*Inventory[[#This Row],[Weight(gm)]]</f>
        <v>92.857588594999996</v>
      </c>
      <c r="H32" s="23">
        <v>45091</v>
      </c>
      <c r="I32" s="22">
        <v>175</v>
      </c>
      <c r="J32" s="22">
        <v>157</v>
      </c>
      <c r="K32" s="40">
        <f>IF(OR(Inventory[[#This Row],[SellingPrice]]=0, Inventory[[#This Row],[SellingPrice]]=""), 0, Inventory[[#This Row],[SellingPrice]] - Inventory[[#This Row],[TotalCost]])</f>
        <v>64.142411405000004</v>
      </c>
      <c r="L32" s="24">
        <f>IF(Inventory[[#This Row],[SellingPrice]]&gt;0, Inventory[[#This Row],[GrossMargin]]/Inventory[[#This Row],[SellingPrice]], 0)</f>
        <v>0.40855039111464969</v>
      </c>
      <c r="M32" s="22" t="s">
        <v>171</v>
      </c>
      <c r="N32" s="23">
        <v>45649</v>
      </c>
      <c r="O32" s="22" t="str">
        <f>IF(AND(Inventory[[#This Row],[SellingPrice]]&lt;&gt;"", Inventory[[#This Row],[SellingPrice]]&gt;0), "Sold", "In Stock")</f>
        <v>Sold</v>
      </c>
      <c r="P32" s="25">
        <f ca="1">IF(AND(Inventory[[#This Row],[StockStatus]]="Sold", ISNUMBER(Inventory[[#This Row],[SaleDate]])), Inventory[[#This Row],[SaleDate]] - Inventory[[#This Row],[PurchaseDate]], TODAY() - Inventory[[#This Row],[PurchaseDate]])</f>
        <v>558</v>
      </c>
    </row>
    <row r="33" spans="1:16" x14ac:dyDescent="0.2">
      <c r="A33" s="21" t="s">
        <v>49</v>
      </c>
      <c r="B33" s="22" t="s">
        <v>24</v>
      </c>
      <c r="C33" s="22" t="s">
        <v>23</v>
      </c>
      <c r="D33" s="22" t="s">
        <v>158</v>
      </c>
      <c r="E33" s="22">
        <v>1.3</v>
      </c>
      <c r="F33" s="22">
        <v>48.872415050000001</v>
      </c>
      <c r="G33" s="22">
        <f>Inventory[[#This Row],[PurchasePrice/Gram]]*Inventory[[#This Row],[Weight(gm)]]</f>
        <v>63.534139565000004</v>
      </c>
      <c r="H33" s="23">
        <v>45091</v>
      </c>
      <c r="I33" s="22">
        <v>120</v>
      </c>
      <c r="J33" s="22">
        <v>108</v>
      </c>
      <c r="K33" s="40">
        <f>IF(OR(Inventory[[#This Row],[SellingPrice]]=0, Inventory[[#This Row],[SellingPrice]]=""), 0, Inventory[[#This Row],[SellingPrice]] - Inventory[[#This Row],[TotalCost]])</f>
        <v>44.465860434999996</v>
      </c>
      <c r="L33" s="24">
        <f>IF(Inventory[[#This Row],[SellingPrice]]&gt;0, Inventory[[#This Row],[GrossMargin]]/Inventory[[#This Row],[SellingPrice]], 0)</f>
        <v>0.41172092995370368</v>
      </c>
      <c r="M33" s="22" t="s">
        <v>171</v>
      </c>
      <c r="N33" s="23">
        <v>45283</v>
      </c>
      <c r="O33" s="22" t="str">
        <f>IF(AND(Inventory[[#This Row],[SellingPrice]]&lt;&gt;"", Inventory[[#This Row],[SellingPrice]]&gt;0), "Sold", "In Stock")</f>
        <v>Sold</v>
      </c>
      <c r="P33" s="25">
        <f ca="1">IF(AND(Inventory[[#This Row],[StockStatus]]="Sold", ISNUMBER(Inventory[[#This Row],[SaleDate]])), Inventory[[#This Row],[SaleDate]] - Inventory[[#This Row],[PurchaseDate]], TODAY() - Inventory[[#This Row],[PurchaseDate]])</f>
        <v>192</v>
      </c>
    </row>
    <row r="34" spans="1:16" x14ac:dyDescent="0.2">
      <c r="A34" s="21" t="s">
        <v>50</v>
      </c>
      <c r="B34" s="22" t="s">
        <v>24</v>
      </c>
      <c r="C34" s="22" t="s">
        <v>23</v>
      </c>
      <c r="D34" s="22" t="s">
        <v>158</v>
      </c>
      <c r="E34" s="22">
        <v>1.3</v>
      </c>
      <c r="F34" s="22">
        <v>48.872415050000001</v>
      </c>
      <c r="G34" s="22">
        <f>Inventory[[#This Row],[PurchasePrice/Gram]]*Inventory[[#This Row],[Weight(gm)]]</f>
        <v>63.534139565000004</v>
      </c>
      <c r="H34" s="23">
        <v>45091</v>
      </c>
      <c r="I34" s="22">
        <v>130</v>
      </c>
      <c r="J34" s="22">
        <v>0</v>
      </c>
      <c r="K34" s="40">
        <f>IF(OR(Inventory[[#This Row],[SellingPrice]]=0, Inventory[[#This Row],[SellingPrice]]=""), 0, Inventory[[#This Row],[SellingPrice]] - Inventory[[#This Row],[TotalCost]])</f>
        <v>0</v>
      </c>
      <c r="L34" s="24">
        <f>IF(Inventory[[#This Row],[SellingPrice]]&gt;0, Inventory[[#This Row],[GrossMargin]]/Inventory[[#This Row],[SellingPrice]], 0)</f>
        <v>0</v>
      </c>
      <c r="M34" s="22"/>
      <c r="N34" s="23"/>
      <c r="O34" s="22" t="str">
        <f>IF(AND(Inventory[[#This Row],[SellingPrice]]&lt;&gt;"", Inventory[[#This Row],[SellingPrice]]&gt;0), "Sold", "In Stock")</f>
        <v>In Stock</v>
      </c>
      <c r="P34" s="25">
        <f ca="1">IF(AND(Inventory[[#This Row],[StockStatus]]="Sold", ISNUMBER(Inventory[[#This Row],[SaleDate]])), Inventory[[#This Row],[SaleDate]] - Inventory[[#This Row],[PurchaseDate]], TODAY() - Inventory[[#This Row],[PurchaseDate]])</f>
        <v>781</v>
      </c>
    </row>
    <row r="35" spans="1:16" x14ac:dyDescent="0.2">
      <c r="A35" s="21" t="s">
        <v>51</v>
      </c>
      <c r="B35" s="22" t="s">
        <v>24</v>
      </c>
      <c r="C35" s="22" t="s">
        <v>23</v>
      </c>
      <c r="D35" s="22" t="s">
        <v>158</v>
      </c>
      <c r="E35" s="22">
        <v>1.3</v>
      </c>
      <c r="F35" s="22">
        <v>48.872415050000001</v>
      </c>
      <c r="G35" s="22">
        <f>Inventory[[#This Row],[PurchasePrice/Gram]]*Inventory[[#This Row],[Weight(gm)]]</f>
        <v>63.534139565000004</v>
      </c>
      <c r="H35" s="23">
        <v>45091</v>
      </c>
      <c r="I35" s="22">
        <v>130</v>
      </c>
      <c r="J35" s="22">
        <v>0</v>
      </c>
      <c r="K35" s="40">
        <f>IF(OR(Inventory[[#This Row],[SellingPrice]]=0, Inventory[[#This Row],[SellingPrice]]=""), 0, Inventory[[#This Row],[SellingPrice]] - Inventory[[#This Row],[TotalCost]])</f>
        <v>0</v>
      </c>
      <c r="L35" s="24">
        <f>IF(Inventory[[#This Row],[SellingPrice]]&gt;0, Inventory[[#This Row],[GrossMargin]]/Inventory[[#This Row],[SellingPrice]], 0)</f>
        <v>0</v>
      </c>
      <c r="M35" s="22"/>
      <c r="N35" s="23"/>
      <c r="O35" s="22" t="str">
        <f>IF(AND(Inventory[[#This Row],[SellingPrice]]&lt;&gt;"", Inventory[[#This Row],[SellingPrice]]&gt;0), "Sold", "In Stock")</f>
        <v>In Stock</v>
      </c>
      <c r="P35" s="25">
        <f ca="1">IF(AND(Inventory[[#This Row],[StockStatus]]="Sold", ISNUMBER(Inventory[[#This Row],[SaleDate]])), Inventory[[#This Row],[SaleDate]] - Inventory[[#This Row],[PurchaseDate]], TODAY() - Inventory[[#This Row],[PurchaseDate]])</f>
        <v>781</v>
      </c>
    </row>
    <row r="36" spans="1:16" x14ac:dyDescent="0.2">
      <c r="A36" s="21" t="s">
        <v>52</v>
      </c>
      <c r="B36" s="22" t="s">
        <v>24</v>
      </c>
      <c r="C36" s="22" t="s">
        <v>23</v>
      </c>
      <c r="D36" s="22" t="s">
        <v>158</v>
      </c>
      <c r="E36" s="22">
        <v>1.3</v>
      </c>
      <c r="F36" s="22">
        <v>48.872415050000001</v>
      </c>
      <c r="G36" s="22">
        <f>Inventory[[#This Row],[PurchasePrice/Gram]]*Inventory[[#This Row],[Weight(gm)]]</f>
        <v>63.534139565000004</v>
      </c>
      <c r="H36" s="23">
        <v>45091</v>
      </c>
      <c r="I36" s="22">
        <v>130</v>
      </c>
      <c r="J36" s="22">
        <v>0</v>
      </c>
      <c r="K36" s="40">
        <f>IF(OR(Inventory[[#This Row],[SellingPrice]]=0, Inventory[[#This Row],[SellingPrice]]=""), 0, Inventory[[#This Row],[SellingPrice]] - Inventory[[#This Row],[TotalCost]])</f>
        <v>0</v>
      </c>
      <c r="L36" s="24">
        <f>IF(Inventory[[#This Row],[SellingPrice]]&gt;0, Inventory[[#This Row],[GrossMargin]]/Inventory[[#This Row],[SellingPrice]], 0)</f>
        <v>0</v>
      </c>
      <c r="M36" s="22"/>
      <c r="N36" s="23"/>
      <c r="O36" s="22" t="str">
        <f>IF(AND(Inventory[[#This Row],[SellingPrice]]&lt;&gt;"", Inventory[[#This Row],[SellingPrice]]&gt;0), "Sold", "In Stock")</f>
        <v>In Stock</v>
      </c>
      <c r="P36" s="25">
        <f ca="1">IF(AND(Inventory[[#This Row],[StockStatus]]="Sold", ISNUMBER(Inventory[[#This Row],[SaleDate]])), Inventory[[#This Row],[SaleDate]] - Inventory[[#This Row],[PurchaseDate]], TODAY() - Inventory[[#This Row],[PurchaseDate]])</f>
        <v>781</v>
      </c>
    </row>
    <row r="37" spans="1:16" x14ac:dyDescent="0.2">
      <c r="A37" s="21" t="s">
        <v>53</v>
      </c>
      <c r="B37" s="22" t="s">
        <v>24</v>
      </c>
      <c r="C37" s="22" t="s">
        <v>23</v>
      </c>
      <c r="D37" s="22" t="s">
        <v>158</v>
      </c>
      <c r="E37" s="22">
        <v>2.2999999999999998</v>
      </c>
      <c r="F37" s="22">
        <v>48.872415050000001</v>
      </c>
      <c r="G37" s="22">
        <f>Inventory[[#This Row],[PurchasePrice/Gram]]*Inventory[[#This Row],[Weight(gm)]]</f>
        <v>112.40655461499999</v>
      </c>
      <c r="H37" s="23">
        <v>45091</v>
      </c>
      <c r="I37" s="22">
        <v>200</v>
      </c>
      <c r="J37" s="22">
        <v>180</v>
      </c>
      <c r="K37" s="40">
        <f>IF(OR(Inventory[[#This Row],[SellingPrice]]=0, Inventory[[#This Row],[SellingPrice]]=""), 0, Inventory[[#This Row],[SellingPrice]] - Inventory[[#This Row],[TotalCost]])</f>
        <v>67.59344538500001</v>
      </c>
      <c r="L37" s="24">
        <f>IF(Inventory[[#This Row],[SellingPrice]]&gt;0, Inventory[[#This Row],[GrossMargin]]/Inventory[[#This Row],[SellingPrice]], 0)</f>
        <v>0.37551914102777784</v>
      </c>
      <c r="M37" s="22" t="s">
        <v>54</v>
      </c>
      <c r="N37" s="23">
        <v>45374</v>
      </c>
      <c r="O37" s="22" t="str">
        <f>IF(AND(Inventory[[#This Row],[SellingPrice]]&lt;&gt;"", Inventory[[#This Row],[SellingPrice]]&gt;0), "Sold", "In Stock")</f>
        <v>Sold</v>
      </c>
      <c r="P37" s="25">
        <f ca="1">IF(AND(Inventory[[#This Row],[StockStatus]]="Sold", ISNUMBER(Inventory[[#This Row],[SaleDate]])), Inventory[[#This Row],[SaleDate]] - Inventory[[#This Row],[PurchaseDate]], TODAY() - Inventory[[#This Row],[PurchaseDate]])</f>
        <v>283</v>
      </c>
    </row>
    <row r="38" spans="1:16" x14ac:dyDescent="0.2">
      <c r="A38" s="21" t="s">
        <v>55</v>
      </c>
      <c r="B38" s="22" t="s">
        <v>2</v>
      </c>
      <c r="C38" s="22" t="s">
        <v>1</v>
      </c>
      <c r="D38" s="22" t="s">
        <v>158</v>
      </c>
      <c r="E38" s="22">
        <v>6.3</v>
      </c>
      <c r="F38" s="22">
        <v>50.8758087</v>
      </c>
      <c r="G38" s="22">
        <f>Inventory[[#This Row],[PurchasePrice/Gram]]*Inventory[[#This Row],[Weight(gm)]]</f>
        <v>320.51759480999999</v>
      </c>
      <c r="H38" s="23">
        <v>45139</v>
      </c>
      <c r="I38" s="22">
        <v>595</v>
      </c>
      <c r="J38" s="22">
        <v>0</v>
      </c>
      <c r="K38" s="40">
        <f>IF(OR(Inventory[[#This Row],[SellingPrice]]=0, Inventory[[#This Row],[SellingPrice]]=""), 0, Inventory[[#This Row],[SellingPrice]] - Inventory[[#This Row],[TotalCost]])</f>
        <v>0</v>
      </c>
      <c r="L38" s="24">
        <f>IF(Inventory[[#This Row],[SellingPrice]]&gt;0, Inventory[[#This Row],[GrossMargin]]/Inventory[[#This Row],[SellingPrice]], 0)</f>
        <v>0</v>
      </c>
      <c r="M38" s="22"/>
      <c r="N38" s="23"/>
      <c r="O38" s="22" t="str">
        <f>IF(AND(Inventory[[#This Row],[SellingPrice]]&lt;&gt;"", Inventory[[#This Row],[SellingPrice]]&gt;0), "Sold", "In Stock")</f>
        <v>In Stock</v>
      </c>
      <c r="P38" s="25">
        <f ca="1">IF(AND(Inventory[[#This Row],[StockStatus]]="Sold", ISNUMBER(Inventory[[#This Row],[SaleDate]])), Inventory[[#This Row],[SaleDate]] - Inventory[[#This Row],[PurchaseDate]], TODAY() - Inventory[[#This Row],[PurchaseDate]])</f>
        <v>733</v>
      </c>
    </row>
    <row r="39" spans="1:16" x14ac:dyDescent="0.2">
      <c r="A39" s="21" t="s">
        <v>56</v>
      </c>
      <c r="B39" s="22" t="s">
        <v>2</v>
      </c>
      <c r="C39" s="22" t="s">
        <v>1</v>
      </c>
      <c r="D39" s="22" t="s">
        <v>158</v>
      </c>
      <c r="E39" s="22">
        <v>9.4</v>
      </c>
      <c r="F39" s="22">
        <v>50.8758087</v>
      </c>
      <c r="G39" s="22">
        <f>Inventory[[#This Row],[PurchasePrice/Gram]]*Inventory[[#This Row],[Weight(gm)]]</f>
        <v>478.23260178000004</v>
      </c>
      <c r="H39" s="23">
        <v>45139</v>
      </c>
      <c r="I39" s="22">
        <v>900</v>
      </c>
      <c r="J39" s="22">
        <v>0</v>
      </c>
      <c r="K39" s="40">
        <f>IF(OR(Inventory[[#This Row],[SellingPrice]]=0, Inventory[[#This Row],[SellingPrice]]=""), 0, Inventory[[#This Row],[SellingPrice]] - Inventory[[#This Row],[TotalCost]])</f>
        <v>0</v>
      </c>
      <c r="L39" s="24">
        <f>IF(Inventory[[#This Row],[SellingPrice]]&gt;0, Inventory[[#This Row],[GrossMargin]]/Inventory[[#This Row],[SellingPrice]], 0)</f>
        <v>0</v>
      </c>
      <c r="M39" s="22"/>
      <c r="N39" s="23"/>
      <c r="O39" s="22" t="str">
        <f>IF(AND(Inventory[[#This Row],[SellingPrice]]&lt;&gt;"", Inventory[[#This Row],[SellingPrice]]&gt;0), "Sold", "In Stock")</f>
        <v>In Stock</v>
      </c>
      <c r="P39" s="25">
        <f ca="1">IF(AND(Inventory[[#This Row],[StockStatus]]="Sold", ISNUMBER(Inventory[[#This Row],[SaleDate]])), Inventory[[#This Row],[SaleDate]] - Inventory[[#This Row],[PurchaseDate]], TODAY() - Inventory[[#This Row],[PurchaseDate]])</f>
        <v>733</v>
      </c>
    </row>
    <row r="40" spans="1:16" x14ac:dyDescent="0.2">
      <c r="A40" s="21" t="s">
        <v>57</v>
      </c>
      <c r="B40" s="22" t="s">
        <v>19</v>
      </c>
      <c r="C40" s="22" t="s">
        <v>1</v>
      </c>
      <c r="D40" s="22" t="s">
        <v>160</v>
      </c>
      <c r="E40" s="22">
        <v>2.2999999999999998</v>
      </c>
      <c r="F40" s="22">
        <v>50.8758087</v>
      </c>
      <c r="G40" s="22">
        <f>Inventory[[#This Row],[PurchasePrice/Gram]]*Inventory[[#This Row],[Weight(gm)]]</f>
        <v>117.01436000999999</v>
      </c>
      <c r="H40" s="23">
        <v>45139</v>
      </c>
      <c r="I40" s="22">
        <v>210</v>
      </c>
      <c r="J40" s="22">
        <v>165</v>
      </c>
      <c r="K40" s="40">
        <f>IF(OR(Inventory[[#This Row],[SellingPrice]]=0, Inventory[[#This Row],[SellingPrice]]=""), 0, Inventory[[#This Row],[SellingPrice]] - Inventory[[#This Row],[TotalCost]])</f>
        <v>47.98563999000001</v>
      </c>
      <c r="L40" s="24">
        <f>IF(Inventory[[#This Row],[SellingPrice]]&gt;0, Inventory[[#This Row],[GrossMargin]]/Inventory[[#This Row],[SellingPrice]], 0)</f>
        <v>0.29082206054545462</v>
      </c>
      <c r="M40" s="22" t="s">
        <v>58</v>
      </c>
      <c r="N40" s="23">
        <v>45510</v>
      </c>
      <c r="O40" s="22" t="str">
        <f>IF(AND(Inventory[[#This Row],[SellingPrice]]&lt;&gt;"", Inventory[[#This Row],[SellingPrice]]&gt;0), "Sold", "In Stock")</f>
        <v>Sold</v>
      </c>
      <c r="P40" s="25">
        <f ca="1">IF(AND(Inventory[[#This Row],[StockStatus]]="Sold", ISNUMBER(Inventory[[#This Row],[SaleDate]])), Inventory[[#This Row],[SaleDate]] - Inventory[[#This Row],[PurchaseDate]], TODAY() - Inventory[[#This Row],[PurchaseDate]])</f>
        <v>371</v>
      </c>
    </row>
    <row r="41" spans="1:16" x14ac:dyDescent="0.2">
      <c r="A41" s="21" t="s">
        <v>59</v>
      </c>
      <c r="B41" s="22" t="s">
        <v>17</v>
      </c>
      <c r="C41" s="22" t="s">
        <v>1</v>
      </c>
      <c r="D41" s="26" t="s">
        <v>158</v>
      </c>
      <c r="E41" s="22">
        <v>4.0999999999999996</v>
      </c>
      <c r="F41" s="22">
        <v>50.8758087</v>
      </c>
      <c r="G41" s="22">
        <f>Inventory[[#This Row],[PurchasePrice/Gram]]*Inventory[[#This Row],[Weight(gm)]]</f>
        <v>208.59081566999998</v>
      </c>
      <c r="H41" s="23">
        <v>45139</v>
      </c>
      <c r="I41" s="22">
        <v>370</v>
      </c>
      <c r="J41" s="22">
        <v>0</v>
      </c>
      <c r="K41" s="40">
        <f>IF(OR(Inventory[[#This Row],[SellingPrice]]=0, Inventory[[#This Row],[SellingPrice]]=""), 0, Inventory[[#This Row],[SellingPrice]] - Inventory[[#This Row],[TotalCost]])</f>
        <v>0</v>
      </c>
      <c r="L41" s="24">
        <f>IF(Inventory[[#This Row],[SellingPrice]]&gt;0, Inventory[[#This Row],[GrossMargin]]/Inventory[[#This Row],[SellingPrice]], 0)</f>
        <v>0</v>
      </c>
      <c r="M41" s="22"/>
      <c r="N41" s="23"/>
      <c r="O41" s="22" t="str">
        <f>IF(AND(Inventory[[#This Row],[SellingPrice]]&lt;&gt;"", Inventory[[#This Row],[SellingPrice]]&gt;0), "Sold", "In Stock")</f>
        <v>In Stock</v>
      </c>
      <c r="P41" s="25">
        <f ca="1">IF(AND(Inventory[[#This Row],[StockStatus]]="Sold", ISNUMBER(Inventory[[#This Row],[SaleDate]])), Inventory[[#This Row],[SaleDate]] - Inventory[[#This Row],[PurchaseDate]], TODAY() - Inventory[[#This Row],[PurchaseDate]])</f>
        <v>733</v>
      </c>
    </row>
    <row r="42" spans="1:16" x14ac:dyDescent="0.2">
      <c r="A42" s="21" t="s">
        <v>60</v>
      </c>
      <c r="B42" s="22" t="s">
        <v>19</v>
      </c>
      <c r="C42" s="22" t="s">
        <v>1</v>
      </c>
      <c r="D42" s="26" t="s">
        <v>158</v>
      </c>
      <c r="E42" s="22">
        <v>2.9</v>
      </c>
      <c r="F42" s="22">
        <v>50.8758087</v>
      </c>
      <c r="G42" s="22">
        <f>Inventory[[#This Row],[PurchasePrice/Gram]]*Inventory[[#This Row],[Weight(gm)]]</f>
        <v>147.53984523</v>
      </c>
      <c r="H42" s="23">
        <v>45139</v>
      </c>
      <c r="I42" s="22">
        <v>265</v>
      </c>
      <c r="J42" s="22">
        <v>220</v>
      </c>
      <c r="K42" s="40">
        <f>IF(OR(Inventory[[#This Row],[SellingPrice]]=0, Inventory[[#This Row],[SellingPrice]]=""), 0, Inventory[[#This Row],[SellingPrice]] - Inventory[[#This Row],[TotalCost]])</f>
        <v>72.460154770000003</v>
      </c>
      <c r="L42" s="24">
        <f>IF(Inventory[[#This Row],[SellingPrice]]&gt;0, Inventory[[#This Row],[GrossMargin]]/Inventory[[#This Row],[SellingPrice]], 0)</f>
        <v>0.32936433986363639</v>
      </c>
      <c r="M42" s="22" t="s">
        <v>172</v>
      </c>
      <c r="N42" s="23">
        <v>45159</v>
      </c>
      <c r="O42" s="22" t="str">
        <f>IF(AND(Inventory[[#This Row],[SellingPrice]]&lt;&gt;"", Inventory[[#This Row],[SellingPrice]]&gt;0), "Sold", "In Stock")</f>
        <v>Sold</v>
      </c>
      <c r="P42" s="25">
        <f ca="1">IF(AND(Inventory[[#This Row],[StockStatus]]="Sold", ISNUMBER(Inventory[[#This Row],[SaleDate]])), Inventory[[#This Row],[SaleDate]] - Inventory[[#This Row],[PurchaseDate]], TODAY() - Inventory[[#This Row],[PurchaseDate]])</f>
        <v>20</v>
      </c>
    </row>
    <row r="43" spans="1:16" x14ac:dyDescent="0.2">
      <c r="A43" s="21" t="s">
        <v>61</v>
      </c>
      <c r="B43" s="22" t="s">
        <v>19</v>
      </c>
      <c r="C43" s="22" t="s">
        <v>1</v>
      </c>
      <c r="D43" s="26" t="s">
        <v>160</v>
      </c>
      <c r="E43" s="22">
        <v>1.3</v>
      </c>
      <c r="F43" s="22">
        <v>50.8758087</v>
      </c>
      <c r="G43" s="22">
        <f>Inventory[[#This Row],[PurchasePrice/Gram]]*Inventory[[#This Row],[Weight(gm)]]</f>
        <v>66.138551309999997</v>
      </c>
      <c r="H43" s="23">
        <v>45139</v>
      </c>
      <c r="I43" s="22">
        <v>145</v>
      </c>
      <c r="J43" s="22">
        <v>0</v>
      </c>
      <c r="K43" s="40">
        <f>IF(OR(Inventory[[#This Row],[SellingPrice]]=0, Inventory[[#This Row],[SellingPrice]]=""), 0, Inventory[[#This Row],[SellingPrice]] - Inventory[[#This Row],[TotalCost]])</f>
        <v>0</v>
      </c>
      <c r="L43" s="24">
        <f>IF(Inventory[[#This Row],[SellingPrice]]&gt;0, Inventory[[#This Row],[GrossMargin]]/Inventory[[#This Row],[SellingPrice]], 0)</f>
        <v>0</v>
      </c>
      <c r="M43" s="22"/>
      <c r="N43" s="23"/>
      <c r="O43" s="22" t="str">
        <f>IF(AND(Inventory[[#This Row],[SellingPrice]]&lt;&gt;"", Inventory[[#This Row],[SellingPrice]]&gt;0), "Sold", "In Stock")</f>
        <v>In Stock</v>
      </c>
      <c r="P43" s="25">
        <f ca="1">IF(AND(Inventory[[#This Row],[StockStatus]]="Sold", ISNUMBER(Inventory[[#This Row],[SaleDate]])), Inventory[[#This Row],[SaleDate]] - Inventory[[#This Row],[PurchaseDate]], TODAY() - Inventory[[#This Row],[PurchaseDate]])</f>
        <v>733</v>
      </c>
    </row>
    <row r="44" spans="1:16" x14ac:dyDescent="0.2">
      <c r="A44" s="21" t="s">
        <v>62</v>
      </c>
      <c r="B44" s="22" t="s">
        <v>19</v>
      </c>
      <c r="C44" s="22" t="s">
        <v>1</v>
      </c>
      <c r="D44" s="22" t="s">
        <v>158</v>
      </c>
      <c r="E44" s="22">
        <v>2.8</v>
      </c>
      <c r="F44" s="22">
        <v>50.8758087</v>
      </c>
      <c r="G44" s="22">
        <f>Inventory[[#This Row],[PurchasePrice/Gram]]*Inventory[[#This Row],[Weight(gm)]]</f>
        <v>142.45226435999999</v>
      </c>
      <c r="H44" s="23">
        <v>45139</v>
      </c>
      <c r="I44" s="22">
        <v>255</v>
      </c>
      <c r="J44" s="22">
        <v>0</v>
      </c>
      <c r="K44" s="40">
        <f>IF(OR(Inventory[[#This Row],[SellingPrice]]=0, Inventory[[#This Row],[SellingPrice]]=""), 0, Inventory[[#This Row],[SellingPrice]] - Inventory[[#This Row],[TotalCost]])</f>
        <v>0</v>
      </c>
      <c r="L44" s="24">
        <f>IF(Inventory[[#This Row],[SellingPrice]]&gt;0, Inventory[[#This Row],[GrossMargin]]/Inventory[[#This Row],[SellingPrice]], 0)</f>
        <v>0</v>
      </c>
      <c r="M44" s="22"/>
      <c r="N44" s="23"/>
      <c r="O44" s="22" t="str">
        <f>IF(AND(Inventory[[#This Row],[SellingPrice]]&lt;&gt;"", Inventory[[#This Row],[SellingPrice]]&gt;0), "Sold", "In Stock")</f>
        <v>In Stock</v>
      </c>
      <c r="P44" s="25">
        <f ca="1">IF(AND(Inventory[[#This Row],[StockStatus]]="Sold", ISNUMBER(Inventory[[#This Row],[SaleDate]])), Inventory[[#This Row],[SaleDate]] - Inventory[[#This Row],[PurchaseDate]], TODAY() - Inventory[[#This Row],[PurchaseDate]])</f>
        <v>733</v>
      </c>
    </row>
    <row r="45" spans="1:16" x14ac:dyDescent="0.2">
      <c r="A45" s="21" t="s">
        <v>63</v>
      </c>
      <c r="B45" s="22" t="s">
        <v>17</v>
      </c>
      <c r="C45" s="22" t="s">
        <v>1</v>
      </c>
      <c r="D45" s="26" t="s">
        <v>158</v>
      </c>
      <c r="E45" s="22">
        <v>4.2</v>
      </c>
      <c r="F45" s="22">
        <v>50.8758087</v>
      </c>
      <c r="G45" s="22">
        <f>Inventory[[#This Row],[PurchasePrice/Gram]]*Inventory[[#This Row],[Weight(gm)]]</f>
        <v>213.67839654000002</v>
      </c>
      <c r="H45" s="23">
        <v>45139</v>
      </c>
      <c r="I45" s="22">
        <v>395</v>
      </c>
      <c r="J45" s="22">
        <v>0</v>
      </c>
      <c r="K45" s="40">
        <f>IF(OR(Inventory[[#This Row],[SellingPrice]]=0, Inventory[[#This Row],[SellingPrice]]=""), 0, Inventory[[#This Row],[SellingPrice]] - Inventory[[#This Row],[TotalCost]])</f>
        <v>0</v>
      </c>
      <c r="L45" s="24">
        <f>IF(Inventory[[#This Row],[SellingPrice]]&gt;0, Inventory[[#This Row],[GrossMargin]]/Inventory[[#This Row],[SellingPrice]], 0)</f>
        <v>0</v>
      </c>
      <c r="M45" s="22"/>
      <c r="N45" s="23"/>
      <c r="O45" s="22" t="str">
        <f>IF(AND(Inventory[[#This Row],[SellingPrice]]&lt;&gt;"", Inventory[[#This Row],[SellingPrice]]&gt;0), "Sold", "In Stock")</f>
        <v>In Stock</v>
      </c>
      <c r="P45" s="25">
        <f ca="1">IF(AND(Inventory[[#This Row],[StockStatus]]="Sold", ISNUMBER(Inventory[[#This Row],[SaleDate]])), Inventory[[#This Row],[SaleDate]] - Inventory[[#This Row],[PurchaseDate]], TODAY() - Inventory[[#This Row],[PurchaseDate]])</f>
        <v>733</v>
      </c>
    </row>
    <row r="46" spans="1:16" x14ac:dyDescent="0.2">
      <c r="A46" s="21" t="s">
        <v>64</v>
      </c>
      <c r="B46" s="22" t="s">
        <v>19</v>
      </c>
      <c r="C46" s="22" t="s">
        <v>1</v>
      </c>
      <c r="D46" s="22" t="s">
        <v>158</v>
      </c>
      <c r="E46" s="22">
        <v>6.3</v>
      </c>
      <c r="F46" s="22">
        <v>50.8758087</v>
      </c>
      <c r="G46" s="22">
        <f>Inventory[[#This Row],[PurchasePrice/Gram]]*Inventory[[#This Row],[Weight(gm)]]</f>
        <v>320.51759480999999</v>
      </c>
      <c r="H46" s="23">
        <v>45139</v>
      </c>
      <c r="I46" s="22">
        <v>575</v>
      </c>
      <c r="J46" s="22"/>
      <c r="K46" s="40">
        <f>IF(OR(Inventory[[#This Row],[SellingPrice]]=0, Inventory[[#This Row],[SellingPrice]]=""), 0, Inventory[[#This Row],[SellingPrice]] - Inventory[[#This Row],[TotalCost]])</f>
        <v>0</v>
      </c>
      <c r="L46" s="24">
        <f>IF(Inventory[[#This Row],[SellingPrice]]&gt;0, Inventory[[#This Row],[GrossMargin]]/Inventory[[#This Row],[SellingPrice]], 0)</f>
        <v>0</v>
      </c>
      <c r="M46" s="22"/>
      <c r="N46" s="23"/>
      <c r="O46" s="22" t="str">
        <f>IF(AND(Inventory[[#This Row],[SellingPrice]]&lt;&gt;"", Inventory[[#This Row],[SellingPrice]]&gt;0), "Sold", "In Stock")</f>
        <v>In Stock</v>
      </c>
      <c r="P46" s="25">
        <f ca="1">IF(AND(Inventory[[#This Row],[StockStatus]]="Sold", ISNUMBER(Inventory[[#This Row],[SaleDate]])), Inventory[[#This Row],[SaleDate]] - Inventory[[#This Row],[PurchaseDate]], TODAY() - Inventory[[#This Row],[PurchaseDate]])</f>
        <v>733</v>
      </c>
    </row>
    <row r="47" spans="1:16" x14ac:dyDescent="0.2">
      <c r="A47" s="21" t="s">
        <v>67</v>
      </c>
      <c r="B47" s="22" t="s">
        <v>66</v>
      </c>
      <c r="C47" s="22" t="s">
        <v>65</v>
      </c>
      <c r="D47" s="22" t="s">
        <v>158</v>
      </c>
      <c r="E47" s="22">
        <v>1.2</v>
      </c>
      <c r="F47" s="22">
        <v>50.8758087</v>
      </c>
      <c r="G47" s="22">
        <f>Inventory[[#This Row],[PurchasePrice/Gram]]*Inventory[[#This Row],[Weight(gm)]]</f>
        <v>61.05097044</v>
      </c>
      <c r="H47" s="23">
        <v>45139</v>
      </c>
      <c r="I47" s="22">
        <v>120</v>
      </c>
      <c r="J47" s="22">
        <v>100</v>
      </c>
      <c r="K47" s="40">
        <f>IF(OR(Inventory[[#This Row],[SellingPrice]]=0, Inventory[[#This Row],[SellingPrice]]=""), 0, Inventory[[#This Row],[SellingPrice]] - Inventory[[#This Row],[TotalCost]])</f>
        <v>38.94902956</v>
      </c>
      <c r="L47" s="24">
        <f>IF(Inventory[[#This Row],[SellingPrice]]&gt;0, Inventory[[#This Row],[GrossMargin]]/Inventory[[#This Row],[SellingPrice]], 0)</f>
        <v>0.38949029559999998</v>
      </c>
      <c r="M47" s="22" t="s">
        <v>58</v>
      </c>
      <c r="N47" s="23">
        <v>45510</v>
      </c>
      <c r="O47" s="22" t="str">
        <f>IF(AND(Inventory[[#This Row],[SellingPrice]]&lt;&gt;"", Inventory[[#This Row],[SellingPrice]]&gt;0), "Sold", "In Stock")</f>
        <v>Sold</v>
      </c>
      <c r="P47" s="25">
        <f ca="1">IF(AND(Inventory[[#This Row],[StockStatus]]="Sold", ISNUMBER(Inventory[[#This Row],[SaleDate]])), Inventory[[#This Row],[SaleDate]] - Inventory[[#This Row],[PurchaseDate]], TODAY() - Inventory[[#This Row],[PurchaseDate]])</f>
        <v>371</v>
      </c>
    </row>
    <row r="48" spans="1:16" x14ac:dyDescent="0.2">
      <c r="A48" s="21" t="s">
        <v>68</v>
      </c>
      <c r="B48" s="22" t="s">
        <v>66</v>
      </c>
      <c r="C48" s="22" t="s">
        <v>65</v>
      </c>
      <c r="D48" s="22" t="s">
        <v>158</v>
      </c>
      <c r="E48" s="22">
        <v>1.4</v>
      </c>
      <c r="F48" s="22">
        <v>50.8758087</v>
      </c>
      <c r="G48" s="22">
        <f>Inventory[[#This Row],[PurchasePrice/Gram]]*Inventory[[#This Row],[Weight(gm)]]</f>
        <v>71.226132179999993</v>
      </c>
      <c r="H48" s="23">
        <v>45139</v>
      </c>
      <c r="I48" s="22">
        <v>135</v>
      </c>
      <c r="J48" s="22">
        <v>105</v>
      </c>
      <c r="K48" s="40">
        <f>IF(OR(Inventory[[#This Row],[SellingPrice]]=0, Inventory[[#This Row],[SellingPrice]]=""), 0, Inventory[[#This Row],[SellingPrice]] - Inventory[[#This Row],[TotalCost]])</f>
        <v>33.773867820000007</v>
      </c>
      <c r="L48" s="24">
        <f>IF(Inventory[[#This Row],[SellingPrice]]&gt;0, Inventory[[#This Row],[GrossMargin]]/Inventory[[#This Row],[SellingPrice]], 0)</f>
        <v>0.32165588400000006</v>
      </c>
      <c r="M48" s="22" t="s">
        <v>37</v>
      </c>
      <c r="N48" s="23">
        <v>45145</v>
      </c>
      <c r="O48" s="22" t="str">
        <f>IF(AND(Inventory[[#This Row],[SellingPrice]]&lt;&gt;"", Inventory[[#This Row],[SellingPrice]]&gt;0), "Sold", "In Stock")</f>
        <v>Sold</v>
      </c>
      <c r="P48" s="25">
        <f ca="1">IF(AND(Inventory[[#This Row],[StockStatus]]="Sold", ISNUMBER(Inventory[[#This Row],[SaleDate]])), Inventory[[#This Row],[SaleDate]] - Inventory[[#This Row],[PurchaseDate]], TODAY() - Inventory[[#This Row],[PurchaseDate]])</f>
        <v>6</v>
      </c>
    </row>
    <row r="49" spans="1:16" x14ac:dyDescent="0.2">
      <c r="A49" s="21" t="s">
        <v>70</v>
      </c>
      <c r="B49" s="22" t="s">
        <v>69</v>
      </c>
      <c r="C49" s="22" t="s">
        <v>65</v>
      </c>
      <c r="D49" s="22" t="s">
        <v>160</v>
      </c>
      <c r="E49" s="22">
        <v>1.5</v>
      </c>
      <c r="F49" s="22">
        <v>50.8758087</v>
      </c>
      <c r="G49" s="22">
        <f>Inventory[[#This Row],[PurchasePrice/Gram]]*Inventory[[#This Row],[Weight(gm)]]</f>
        <v>76.313713050000004</v>
      </c>
      <c r="H49" s="23">
        <v>45139</v>
      </c>
      <c r="I49" s="22">
        <v>135</v>
      </c>
      <c r="J49" s="22">
        <v>115</v>
      </c>
      <c r="K49" s="40">
        <f>IF(OR(Inventory[[#This Row],[SellingPrice]]=0, Inventory[[#This Row],[SellingPrice]]=""), 0, Inventory[[#This Row],[SellingPrice]] - Inventory[[#This Row],[TotalCost]])</f>
        <v>38.686286949999996</v>
      </c>
      <c r="L49" s="24">
        <f>IF(Inventory[[#This Row],[SellingPrice]]&gt;0, Inventory[[#This Row],[GrossMargin]]/Inventory[[#This Row],[SellingPrice]], 0)</f>
        <v>0.3364024952173913</v>
      </c>
      <c r="M49" s="22" t="s">
        <v>71</v>
      </c>
      <c r="N49" s="23">
        <v>45150</v>
      </c>
      <c r="O49" s="22" t="str">
        <f>IF(AND(Inventory[[#This Row],[SellingPrice]]&lt;&gt;"", Inventory[[#This Row],[SellingPrice]]&gt;0), "Sold", "In Stock")</f>
        <v>Sold</v>
      </c>
      <c r="P49" s="25">
        <f ca="1">IF(AND(Inventory[[#This Row],[StockStatus]]="Sold", ISNUMBER(Inventory[[#This Row],[SaleDate]])), Inventory[[#This Row],[SaleDate]] - Inventory[[#This Row],[PurchaseDate]], TODAY() - Inventory[[#This Row],[PurchaseDate]])</f>
        <v>11</v>
      </c>
    </row>
    <row r="50" spans="1:16" x14ac:dyDescent="0.2">
      <c r="A50" s="21" t="s">
        <v>73</v>
      </c>
      <c r="B50" s="22" t="s">
        <v>72</v>
      </c>
      <c r="C50" s="22" t="s">
        <v>65</v>
      </c>
      <c r="D50" s="22" t="s">
        <v>158</v>
      </c>
      <c r="E50" s="22">
        <v>3.8</v>
      </c>
      <c r="F50" s="22">
        <v>50.8758087</v>
      </c>
      <c r="G50" s="22">
        <f>Inventory[[#This Row],[PurchasePrice/Gram]]*Inventory[[#This Row],[Weight(gm)]]</f>
        <v>193.32807305999998</v>
      </c>
      <c r="H50" s="23">
        <v>45139</v>
      </c>
      <c r="I50" s="22">
        <v>345</v>
      </c>
      <c r="J50" s="22">
        <v>0</v>
      </c>
      <c r="K50" s="40">
        <f>IF(OR(Inventory[[#This Row],[SellingPrice]]=0, Inventory[[#This Row],[SellingPrice]]=""), 0, Inventory[[#This Row],[SellingPrice]] - Inventory[[#This Row],[TotalCost]])</f>
        <v>0</v>
      </c>
      <c r="L50" s="24">
        <f>IF(Inventory[[#This Row],[SellingPrice]]&gt;0, Inventory[[#This Row],[GrossMargin]]/Inventory[[#This Row],[SellingPrice]], 0)</f>
        <v>0</v>
      </c>
      <c r="M50" s="22"/>
      <c r="N50" s="23"/>
      <c r="O50" s="22" t="str">
        <f>IF(AND(Inventory[[#This Row],[SellingPrice]]&lt;&gt;"", Inventory[[#This Row],[SellingPrice]]&gt;0), "Sold", "In Stock")</f>
        <v>In Stock</v>
      </c>
      <c r="P50" s="25">
        <f ca="1">IF(AND(Inventory[[#This Row],[StockStatus]]="Sold", ISNUMBER(Inventory[[#This Row],[SaleDate]])), Inventory[[#This Row],[SaleDate]] - Inventory[[#This Row],[PurchaseDate]], TODAY() - Inventory[[#This Row],[PurchaseDate]])</f>
        <v>733</v>
      </c>
    </row>
    <row r="51" spans="1:16" x14ac:dyDescent="0.2">
      <c r="A51" s="21" t="s">
        <v>74</v>
      </c>
      <c r="B51" s="22" t="s">
        <v>72</v>
      </c>
      <c r="C51" s="22" t="s">
        <v>65</v>
      </c>
      <c r="D51" s="22" t="s">
        <v>158</v>
      </c>
      <c r="E51" s="22">
        <v>9.1999999999999993</v>
      </c>
      <c r="F51" s="22">
        <v>50.8758087</v>
      </c>
      <c r="G51" s="22">
        <f>Inventory[[#This Row],[PurchasePrice/Gram]]*Inventory[[#This Row],[Weight(gm)]]</f>
        <v>468.05744003999996</v>
      </c>
      <c r="H51" s="23">
        <v>45139</v>
      </c>
      <c r="I51" s="22">
        <v>695</v>
      </c>
      <c r="J51" s="22">
        <v>0</v>
      </c>
      <c r="K51" s="40">
        <f>IF(OR(Inventory[[#This Row],[SellingPrice]]=0, Inventory[[#This Row],[SellingPrice]]=""), 0, Inventory[[#This Row],[SellingPrice]] - Inventory[[#This Row],[TotalCost]])</f>
        <v>0</v>
      </c>
      <c r="L51" s="24">
        <f>IF(Inventory[[#This Row],[SellingPrice]]&gt;0, Inventory[[#This Row],[GrossMargin]]/Inventory[[#This Row],[SellingPrice]], 0)</f>
        <v>0</v>
      </c>
      <c r="M51" s="22"/>
      <c r="N51" s="23"/>
      <c r="O51" s="22" t="str">
        <f>IF(AND(Inventory[[#This Row],[SellingPrice]]&lt;&gt;"", Inventory[[#This Row],[SellingPrice]]&gt;0), "Sold", "In Stock")</f>
        <v>In Stock</v>
      </c>
      <c r="P51" s="25">
        <f ca="1">IF(AND(Inventory[[#This Row],[StockStatus]]="Sold", ISNUMBER(Inventory[[#This Row],[SaleDate]])), Inventory[[#This Row],[SaleDate]] - Inventory[[#This Row],[PurchaseDate]], TODAY() - Inventory[[#This Row],[PurchaseDate]])</f>
        <v>733</v>
      </c>
    </row>
    <row r="52" spans="1:16" x14ac:dyDescent="0.2">
      <c r="A52" s="21" t="s">
        <v>75</v>
      </c>
      <c r="B52" s="22" t="s">
        <v>72</v>
      </c>
      <c r="C52" s="22" t="s">
        <v>65</v>
      </c>
      <c r="D52" s="22" t="s">
        <v>158</v>
      </c>
      <c r="E52" s="22">
        <v>6.2</v>
      </c>
      <c r="F52" s="22">
        <v>50.8758087</v>
      </c>
      <c r="G52" s="22">
        <f>Inventory[[#This Row],[PurchasePrice/Gram]]*Inventory[[#This Row],[Weight(gm)]]</f>
        <v>315.43001394000004</v>
      </c>
      <c r="H52" s="23">
        <v>45139</v>
      </c>
      <c r="I52" s="22">
        <v>575</v>
      </c>
      <c r="J52" s="22">
        <v>0</v>
      </c>
      <c r="K52" s="40">
        <f>IF(OR(Inventory[[#This Row],[SellingPrice]]=0, Inventory[[#This Row],[SellingPrice]]=""), 0, Inventory[[#This Row],[SellingPrice]] - Inventory[[#This Row],[TotalCost]])</f>
        <v>0</v>
      </c>
      <c r="L52" s="24">
        <f>IF(Inventory[[#This Row],[SellingPrice]]&gt;0, Inventory[[#This Row],[GrossMargin]]/Inventory[[#This Row],[SellingPrice]], 0)</f>
        <v>0</v>
      </c>
      <c r="M52" s="22"/>
      <c r="N52" s="23"/>
      <c r="O52" s="22" t="str">
        <f>IF(AND(Inventory[[#This Row],[SellingPrice]]&lt;&gt;"", Inventory[[#This Row],[SellingPrice]]&gt;0), "Sold", "In Stock")</f>
        <v>In Stock</v>
      </c>
      <c r="P52" s="25">
        <f ca="1">IF(AND(Inventory[[#This Row],[StockStatus]]="Sold", ISNUMBER(Inventory[[#This Row],[SaleDate]])), Inventory[[#This Row],[SaleDate]] - Inventory[[#This Row],[PurchaseDate]], TODAY() - Inventory[[#This Row],[PurchaseDate]])</f>
        <v>733</v>
      </c>
    </row>
    <row r="53" spans="1:16" x14ac:dyDescent="0.2">
      <c r="A53" s="21" t="s">
        <v>77</v>
      </c>
      <c r="B53" s="22" t="s">
        <v>76</v>
      </c>
      <c r="C53" s="22" t="s">
        <v>76</v>
      </c>
      <c r="D53" s="22" t="s">
        <v>158</v>
      </c>
      <c r="E53" s="22">
        <v>1.2</v>
      </c>
      <c r="F53" s="22">
        <v>50.8758087</v>
      </c>
      <c r="G53" s="22">
        <f>Inventory[[#This Row],[PurchasePrice/Gram]]*Inventory[[#This Row],[Weight(gm)]]</f>
        <v>61.05097044</v>
      </c>
      <c r="H53" s="23">
        <v>45139</v>
      </c>
      <c r="I53" s="22">
        <v>120</v>
      </c>
      <c r="J53" s="22">
        <v>100</v>
      </c>
      <c r="K53" s="40">
        <f>IF(OR(Inventory[[#This Row],[SellingPrice]]=0, Inventory[[#This Row],[SellingPrice]]=""), 0, Inventory[[#This Row],[SellingPrice]] - Inventory[[#This Row],[TotalCost]])</f>
        <v>38.94902956</v>
      </c>
      <c r="L53" s="24">
        <f>IF(Inventory[[#This Row],[SellingPrice]]&gt;0, Inventory[[#This Row],[GrossMargin]]/Inventory[[#This Row],[SellingPrice]], 0)</f>
        <v>0.38949029559999998</v>
      </c>
      <c r="M53" s="22" t="s">
        <v>172</v>
      </c>
      <c r="N53" s="23">
        <v>45525</v>
      </c>
      <c r="O53" s="22" t="str">
        <f>IF(AND(Inventory[[#This Row],[SellingPrice]]&lt;&gt;"", Inventory[[#This Row],[SellingPrice]]&gt;0), "Sold", "In Stock")</f>
        <v>Sold</v>
      </c>
      <c r="P53" s="25">
        <f ca="1">IF(AND(Inventory[[#This Row],[StockStatus]]="Sold", ISNUMBER(Inventory[[#This Row],[SaleDate]])), Inventory[[#This Row],[SaleDate]] - Inventory[[#This Row],[PurchaseDate]], TODAY() - Inventory[[#This Row],[PurchaseDate]])</f>
        <v>386</v>
      </c>
    </row>
    <row r="54" spans="1:16" x14ac:dyDescent="0.2">
      <c r="A54" s="21" t="s">
        <v>78</v>
      </c>
      <c r="B54" s="22" t="s">
        <v>76</v>
      </c>
      <c r="C54" s="22" t="s">
        <v>76</v>
      </c>
      <c r="D54" s="22" t="s">
        <v>158</v>
      </c>
      <c r="E54" s="22">
        <v>1.2</v>
      </c>
      <c r="F54" s="22">
        <v>50.8758087</v>
      </c>
      <c r="G54" s="22">
        <f>Inventory[[#This Row],[PurchasePrice/Gram]]*Inventory[[#This Row],[Weight(gm)]]</f>
        <v>61.05097044</v>
      </c>
      <c r="H54" s="23">
        <v>45139</v>
      </c>
      <c r="I54" s="22">
        <v>115</v>
      </c>
      <c r="J54" s="22">
        <v>0</v>
      </c>
      <c r="K54" s="40">
        <f>IF(OR(Inventory[[#This Row],[SellingPrice]]=0, Inventory[[#This Row],[SellingPrice]]=""), 0, Inventory[[#This Row],[SellingPrice]] - Inventory[[#This Row],[TotalCost]])</f>
        <v>0</v>
      </c>
      <c r="L54" s="24">
        <f>IF(Inventory[[#This Row],[SellingPrice]]&gt;0, Inventory[[#This Row],[GrossMargin]]/Inventory[[#This Row],[SellingPrice]], 0)</f>
        <v>0</v>
      </c>
      <c r="M54" s="22"/>
      <c r="N54" s="23"/>
      <c r="O54" s="22" t="str">
        <f>IF(AND(Inventory[[#This Row],[SellingPrice]]&lt;&gt;"", Inventory[[#This Row],[SellingPrice]]&gt;0), "Sold", "In Stock")</f>
        <v>In Stock</v>
      </c>
      <c r="P54" s="25">
        <f ca="1">IF(AND(Inventory[[#This Row],[StockStatus]]="Sold", ISNUMBER(Inventory[[#This Row],[SaleDate]])), Inventory[[#This Row],[SaleDate]] - Inventory[[#This Row],[PurchaseDate]], TODAY() - Inventory[[#This Row],[PurchaseDate]])</f>
        <v>733</v>
      </c>
    </row>
    <row r="55" spans="1:16" x14ac:dyDescent="0.2">
      <c r="A55" s="21" t="s">
        <v>79</v>
      </c>
      <c r="B55" s="22" t="s">
        <v>76</v>
      </c>
      <c r="C55" s="22" t="s">
        <v>76</v>
      </c>
      <c r="D55" s="22" t="s">
        <v>158</v>
      </c>
      <c r="E55" s="22">
        <v>1.3</v>
      </c>
      <c r="F55" s="22">
        <v>50.8758087</v>
      </c>
      <c r="G55" s="22">
        <f>Inventory[[#This Row],[PurchasePrice/Gram]]*Inventory[[#This Row],[Weight(gm)]]</f>
        <v>66.138551309999997</v>
      </c>
      <c r="H55" s="23">
        <v>45139</v>
      </c>
      <c r="I55" s="22">
        <v>120</v>
      </c>
      <c r="J55" s="22">
        <v>101.25</v>
      </c>
      <c r="K55" s="40">
        <f>IF(OR(Inventory[[#This Row],[SellingPrice]]=0, Inventory[[#This Row],[SellingPrice]]=""), 0, Inventory[[#This Row],[SellingPrice]] - Inventory[[#This Row],[TotalCost]])</f>
        <v>35.111448690000003</v>
      </c>
      <c r="L55" s="24">
        <f>IF(Inventory[[#This Row],[SellingPrice]]&gt;0, Inventory[[#This Row],[GrossMargin]]/Inventory[[#This Row],[SellingPrice]], 0)</f>
        <v>0.34677974014814816</v>
      </c>
      <c r="M55" s="22" t="s">
        <v>173</v>
      </c>
      <c r="N55" s="23">
        <v>45629</v>
      </c>
      <c r="O55" s="22" t="str">
        <f>IF(AND(Inventory[[#This Row],[SellingPrice]]&lt;&gt;"", Inventory[[#This Row],[SellingPrice]]&gt;0), "Sold", "In Stock")</f>
        <v>Sold</v>
      </c>
      <c r="P55" s="25">
        <f ca="1">IF(AND(Inventory[[#This Row],[StockStatus]]="Sold", ISNUMBER(Inventory[[#This Row],[SaleDate]])), Inventory[[#This Row],[SaleDate]] - Inventory[[#This Row],[PurchaseDate]], TODAY() - Inventory[[#This Row],[PurchaseDate]])</f>
        <v>490</v>
      </c>
    </row>
    <row r="56" spans="1:16" x14ac:dyDescent="0.2">
      <c r="A56" s="21" t="s">
        <v>80</v>
      </c>
      <c r="B56" s="22" t="s">
        <v>76</v>
      </c>
      <c r="C56" s="22" t="s">
        <v>76</v>
      </c>
      <c r="D56" s="22" t="s">
        <v>158</v>
      </c>
      <c r="E56" s="22">
        <v>0.5</v>
      </c>
      <c r="F56" s="22">
        <v>50.8758087</v>
      </c>
      <c r="G56" s="22">
        <f>Inventory[[#This Row],[PurchasePrice/Gram]]*Inventory[[#This Row],[Weight(gm)]]</f>
        <v>25.43790435</v>
      </c>
      <c r="H56" s="23">
        <v>45139</v>
      </c>
      <c r="I56" s="22">
        <v>50</v>
      </c>
      <c r="J56" s="22">
        <v>0</v>
      </c>
      <c r="K56" s="40">
        <f>IF(OR(Inventory[[#This Row],[SellingPrice]]=0, Inventory[[#This Row],[SellingPrice]]=""), 0, Inventory[[#This Row],[SellingPrice]] - Inventory[[#This Row],[TotalCost]])</f>
        <v>0</v>
      </c>
      <c r="L56" s="24">
        <f>IF(Inventory[[#This Row],[SellingPrice]]&gt;0, Inventory[[#This Row],[GrossMargin]]/Inventory[[#This Row],[SellingPrice]], 0)</f>
        <v>0</v>
      </c>
      <c r="M56" s="22"/>
      <c r="N56" s="23"/>
      <c r="O56" s="22" t="str">
        <f>IF(AND(Inventory[[#This Row],[SellingPrice]]&lt;&gt;"", Inventory[[#This Row],[SellingPrice]]&gt;0), "Sold", "In Stock")</f>
        <v>In Stock</v>
      </c>
      <c r="P56" s="25">
        <f ca="1">IF(AND(Inventory[[#This Row],[StockStatus]]="Sold", ISNUMBER(Inventory[[#This Row],[SaleDate]])), Inventory[[#This Row],[SaleDate]] - Inventory[[#This Row],[PurchaseDate]], TODAY() - Inventory[[#This Row],[PurchaseDate]])</f>
        <v>733</v>
      </c>
    </row>
    <row r="57" spans="1:16" x14ac:dyDescent="0.2">
      <c r="A57" s="21" t="s">
        <v>81</v>
      </c>
      <c r="B57" s="22" t="s">
        <v>76</v>
      </c>
      <c r="C57" s="22" t="s">
        <v>76</v>
      </c>
      <c r="D57" s="22" t="s">
        <v>158</v>
      </c>
      <c r="E57" s="22">
        <v>0.5</v>
      </c>
      <c r="F57" s="22">
        <v>50.8758087</v>
      </c>
      <c r="G57" s="22">
        <f>Inventory[[#This Row],[PurchasePrice/Gram]]*Inventory[[#This Row],[Weight(gm)]]</f>
        <v>25.43790435</v>
      </c>
      <c r="H57" s="23">
        <v>45139</v>
      </c>
      <c r="I57" s="22">
        <v>50</v>
      </c>
      <c r="J57" s="22">
        <v>40</v>
      </c>
      <c r="K57" s="40">
        <f>IF(OR(Inventory[[#This Row],[SellingPrice]]=0, Inventory[[#This Row],[SellingPrice]]=""), 0, Inventory[[#This Row],[SellingPrice]] - Inventory[[#This Row],[TotalCost]])</f>
        <v>14.56209565</v>
      </c>
      <c r="L57" s="24">
        <f>IF(Inventory[[#This Row],[SellingPrice]]&gt;0, Inventory[[#This Row],[GrossMargin]]/Inventory[[#This Row],[SellingPrice]], 0)</f>
        <v>0.36405239125</v>
      </c>
      <c r="M57" s="22" t="s">
        <v>16</v>
      </c>
      <c r="N57" s="23">
        <v>45517</v>
      </c>
      <c r="O57" s="22" t="str">
        <f>IF(AND(Inventory[[#This Row],[SellingPrice]]&lt;&gt;"", Inventory[[#This Row],[SellingPrice]]&gt;0), "Sold", "In Stock")</f>
        <v>Sold</v>
      </c>
      <c r="P57" s="25">
        <f ca="1">IF(AND(Inventory[[#This Row],[StockStatus]]="Sold", ISNUMBER(Inventory[[#This Row],[SaleDate]])), Inventory[[#This Row],[SaleDate]] - Inventory[[#This Row],[PurchaseDate]], TODAY() - Inventory[[#This Row],[PurchaseDate]])</f>
        <v>378</v>
      </c>
    </row>
    <row r="58" spans="1:16" x14ac:dyDescent="0.2">
      <c r="A58" s="21" t="s">
        <v>82</v>
      </c>
      <c r="B58" s="22" t="s">
        <v>76</v>
      </c>
      <c r="C58" s="22" t="s">
        <v>76</v>
      </c>
      <c r="D58" s="22" t="s">
        <v>158</v>
      </c>
      <c r="E58" s="22">
        <v>1.6</v>
      </c>
      <c r="F58" s="22">
        <v>50.8758087</v>
      </c>
      <c r="G58" s="22">
        <f>Inventory[[#This Row],[PurchasePrice/Gram]]*Inventory[[#This Row],[Weight(gm)]]</f>
        <v>81.401293920000001</v>
      </c>
      <c r="H58" s="23">
        <v>45139</v>
      </c>
      <c r="I58" s="22">
        <v>145</v>
      </c>
      <c r="J58" s="22">
        <v>0</v>
      </c>
      <c r="K58" s="40">
        <f>IF(OR(Inventory[[#This Row],[SellingPrice]]=0, Inventory[[#This Row],[SellingPrice]]=""), 0, Inventory[[#This Row],[SellingPrice]] - Inventory[[#This Row],[TotalCost]])</f>
        <v>0</v>
      </c>
      <c r="L58" s="24">
        <f>IF(Inventory[[#This Row],[SellingPrice]]&gt;0, Inventory[[#This Row],[GrossMargin]]/Inventory[[#This Row],[SellingPrice]], 0)</f>
        <v>0</v>
      </c>
      <c r="M58" s="22"/>
      <c r="N58" s="23"/>
      <c r="O58" s="22" t="str">
        <f>IF(AND(Inventory[[#This Row],[SellingPrice]]&lt;&gt;"", Inventory[[#This Row],[SellingPrice]]&gt;0), "Sold", "In Stock")</f>
        <v>In Stock</v>
      </c>
      <c r="P58" s="25">
        <f ca="1">IF(AND(Inventory[[#This Row],[StockStatus]]="Sold", ISNUMBER(Inventory[[#This Row],[SaleDate]])), Inventory[[#This Row],[SaleDate]] - Inventory[[#This Row],[PurchaseDate]], TODAY() - Inventory[[#This Row],[PurchaseDate]])</f>
        <v>733</v>
      </c>
    </row>
    <row r="59" spans="1:16" x14ac:dyDescent="0.2">
      <c r="A59" s="21" t="s">
        <v>83</v>
      </c>
      <c r="B59" s="22" t="s">
        <v>76</v>
      </c>
      <c r="C59" s="22" t="s">
        <v>76</v>
      </c>
      <c r="D59" s="22" t="s">
        <v>158</v>
      </c>
      <c r="E59" s="22">
        <v>1.7</v>
      </c>
      <c r="F59" s="22">
        <v>50.8758087</v>
      </c>
      <c r="G59" s="22">
        <f>Inventory[[#This Row],[PurchasePrice/Gram]]*Inventory[[#This Row],[Weight(gm)]]</f>
        <v>86.488874789999997</v>
      </c>
      <c r="H59" s="23">
        <v>45139</v>
      </c>
      <c r="I59" s="22">
        <v>155</v>
      </c>
      <c r="J59" s="22">
        <v>0</v>
      </c>
      <c r="K59" s="40">
        <f>IF(OR(Inventory[[#This Row],[SellingPrice]]=0, Inventory[[#This Row],[SellingPrice]]=""), 0, Inventory[[#This Row],[SellingPrice]] - Inventory[[#This Row],[TotalCost]])</f>
        <v>0</v>
      </c>
      <c r="L59" s="24">
        <f>IF(Inventory[[#This Row],[SellingPrice]]&gt;0, Inventory[[#This Row],[GrossMargin]]/Inventory[[#This Row],[SellingPrice]], 0)</f>
        <v>0</v>
      </c>
      <c r="M59" s="22"/>
      <c r="N59" s="23"/>
      <c r="O59" s="22" t="str">
        <f>IF(AND(Inventory[[#This Row],[SellingPrice]]&lt;&gt;"", Inventory[[#This Row],[SellingPrice]]&gt;0), "Sold", "In Stock")</f>
        <v>In Stock</v>
      </c>
      <c r="P59" s="25">
        <f ca="1">IF(AND(Inventory[[#This Row],[StockStatus]]="Sold", ISNUMBER(Inventory[[#This Row],[SaleDate]])), Inventory[[#This Row],[SaleDate]] - Inventory[[#This Row],[PurchaseDate]], TODAY() - Inventory[[#This Row],[PurchaseDate]])</f>
        <v>733</v>
      </c>
    </row>
    <row r="60" spans="1:16" x14ac:dyDescent="0.2">
      <c r="A60" s="21" t="s">
        <v>84</v>
      </c>
      <c r="B60" s="22" t="s">
        <v>76</v>
      </c>
      <c r="C60" s="22" t="s">
        <v>76</v>
      </c>
      <c r="D60" s="22" t="s">
        <v>158</v>
      </c>
      <c r="E60" s="22">
        <v>1.9</v>
      </c>
      <c r="F60" s="22">
        <v>50.8758087</v>
      </c>
      <c r="G60" s="22">
        <f>Inventory[[#This Row],[PurchasePrice/Gram]]*Inventory[[#This Row],[Weight(gm)]]</f>
        <v>96.66403652999999</v>
      </c>
      <c r="H60" s="23">
        <v>45139</v>
      </c>
      <c r="I60" s="22">
        <v>175</v>
      </c>
      <c r="J60" s="22">
        <v>0</v>
      </c>
      <c r="K60" s="40">
        <f>IF(OR(Inventory[[#This Row],[SellingPrice]]=0, Inventory[[#This Row],[SellingPrice]]=""), 0, Inventory[[#This Row],[SellingPrice]] - Inventory[[#This Row],[TotalCost]])</f>
        <v>0</v>
      </c>
      <c r="L60" s="24">
        <f>IF(Inventory[[#This Row],[SellingPrice]]&gt;0, Inventory[[#This Row],[GrossMargin]]/Inventory[[#This Row],[SellingPrice]], 0)</f>
        <v>0</v>
      </c>
      <c r="M60" s="22"/>
      <c r="N60" s="23"/>
      <c r="O60" s="22" t="str">
        <f>IF(AND(Inventory[[#This Row],[SellingPrice]]&lt;&gt;"", Inventory[[#This Row],[SellingPrice]]&gt;0), "Sold", "In Stock")</f>
        <v>In Stock</v>
      </c>
      <c r="P60" s="25">
        <f ca="1">IF(AND(Inventory[[#This Row],[StockStatus]]="Sold", ISNUMBER(Inventory[[#This Row],[SaleDate]])), Inventory[[#This Row],[SaleDate]] - Inventory[[#This Row],[PurchaseDate]], TODAY() - Inventory[[#This Row],[PurchaseDate]])</f>
        <v>733</v>
      </c>
    </row>
    <row r="61" spans="1:16" x14ac:dyDescent="0.2">
      <c r="A61" s="21" t="s">
        <v>85</v>
      </c>
      <c r="B61" s="22" t="s">
        <v>76</v>
      </c>
      <c r="C61" s="22" t="s">
        <v>76</v>
      </c>
      <c r="D61" s="22" t="s">
        <v>158</v>
      </c>
      <c r="E61" s="22">
        <v>2</v>
      </c>
      <c r="F61" s="22">
        <v>50.8758087</v>
      </c>
      <c r="G61" s="22">
        <f>Inventory[[#This Row],[PurchasePrice/Gram]]*Inventory[[#This Row],[Weight(gm)]]</f>
        <v>101.7516174</v>
      </c>
      <c r="H61" s="23">
        <v>45139</v>
      </c>
      <c r="I61" s="22">
        <v>200</v>
      </c>
      <c r="J61" s="22">
        <v>0</v>
      </c>
      <c r="K61" s="40">
        <f>IF(OR(Inventory[[#This Row],[SellingPrice]]=0, Inventory[[#This Row],[SellingPrice]]=""), 0, Inventory[[#This Row],[SellingPrice]] - Inventory[[#This Row],[TotalCost]])</f>
        <v>0</v>
      </c>
      <c r="L61" s="24">
        <f>IF(Inventory[[#This Row],[SellingPrice]]&gt;0, Inventory[[#This Row],[GrossMargin]]/Inventory[[#This Row],[SellingPrice]], 0)</f>
        <v>0</v>
      </c>
      <c r="M61" s="22"/>
      <c r="N61" s="23"/>
      <c r="O61" s="22" t="str">
        <f>IF(AND(Inventory[[#This Row],[SellingPrice]]&lt;&gt;"", Inventory[[#This Row],[SellingPrice]]&gt;0), "Sold", "In Stock")</f>
        <v>In Stock</v>
      </c>
      <c r="P61" s="25">
        <f ca="1">IF(AND(Inventory[[#This Row],[StockStatus]]="Sold", ISNUMBER(Inventory[[#This Row],[SaleDate]])), Inventory[[#This Row],[SaleDate]] - Inventory[[#This Row],[PurchaseDate]], TODAY() - Inventory[[#This Row],[PurchaseDate]])</f>
        <v>733</v>
      </c>
    </row>
    <row r="62" spans="1:16" x14ac:dyDescent="0.2">
      <c r="A62" s="21" t="s">
        <v>86</v>
      </c>
      <c r="B62" s="22" t="s">
        <v>76</v>
      </c>
      <c r="C62" s="22" t="s">
        <v>76</v>
      </c>
      <c r="D62" s="22" t="s">
        <v>158</v>
      </c>
      <c r="E62" s="22">
        <v>0.6</v>
      </c>
      <c r="F62" s="22">
        <v>50.8758087</v>
      </c>
      <c r="G62" s="22">
        <f>Inventory[[#This Row],[PurchasePrice/Gram]]*Inventory[[#This Row],[Weight(gm)]]</f>
        <v>30.52548522</v>
      </c>
      <c r="H62" s="23">
        <v>45139</v>
      </c>
      <c r="I62" s="22">
        <v>65</v>
      </c>
      <c r="J62" s="22">
        <v>58</v>
      </c>
      <c r="K62" s="40">
        <f>IF(OR(Inventory[[#This Row],[SellingPrice]]=0, Inventory[[#This Row],[SellingPrice]]=""), 0, Inventory[[#This Row],[SellingPrice]] - Inventory[[#This Row],[TotalCost]])</f>
        <v>27.47451478</v>
      </c>
      <c r="L62" s="24">
        <f>IF(Inventory[[#This Row],[SellingPrice]]&gt;0, Inventory[[#This Row],[GrossMargin]]/Inventory[[#This Row],[SellingPrice]], 0)</f>
        <v>0.47369853068965517</v>
      </c>
      <c r="M62" s="22" t="s">
        <v>87</v>
      </c>
      <c r="N62" s="23">
        <v>45153</v>
      </c>
      <c r="O62" s="22" t="str">
        <f>IF(AND(Inventory[[#This Row],[SellingPrice]]&lt;&gt;"", Inventory[[#This Row],[SellingPrice]]&gt;0), "Sold", "In Stock")</f>
        <v>Sold</v>
      </c>
      <c r="P62" s="25">
        <f ca="1">IF(AND(Inventory[[#This Row],[StockStatus]]="Sold", ISNUMBER(Inventory[[#This Row],[SaleDate]])), Inventory[[#This Row],[SaleDate]] - Inventory[[#This Row],[PurchaseDate]], TODAY() - Inventory[[#This Row],[PurchaseDate]])</f>
        <v>14</v>
      </c>
    </row>
    <row r="63" spans="1:16" x14ac:dyDescent="0.2">
      <c r="A63" s="21" t="s">
        <v>88</v>
      </c>
      <c r="B63" s="22" t="s">
        <v>76</v>
      </c>
      <c r="C63" s="22" t="s">
        <v>76</v>
      </c>
      <c r="D63" s="22" t="s">
        <v>158</v>
      </c>
      <c r="E63" s="22">
        <v>0.3</v>
      </c>
      <c r="F63" s="22">
        <v>50.8758087</v>
      </c>
      <c r="G63" s="22">
        <f>Inventory[[#This Row],[PurchasePrice/Gram]]*Inventory[[#This Row],[Weight(gm)]]</f>
        <v>15.26274261</v>
      </c>
      <c r="H63" s="23">
        <v>45139</v>
      </c>
      <c r="I63" s="22">
        <v>50</v>
      </c>
      <c r="J63" s="22">
        <v>50</v>
      </c>
      <c r="K63" s="40">
        <f>IF(OR(Inventory[[#This Row],[SellingPrice]]=0, Inventory[[#This Row],[SellingPrice]]=""), 0, Inventory[[#This Row],[SellingPrice]] - Inventory[[#This Row],[TotalCost]])</f>
        <v>34.737257389999996</v>
      </c>
      <c r="L63" s="24">
        <f>IF(Inventory[[#This Row],[SellingPrice]]&gt;0, Inventory[[#This Row],[GrossMargin]]/Inventory[[#This Row],[SellingPrice]], 0)</f>
        <v>0.69474514779999996</v>
      </c>
      <c r="M63" s="22" t="s">
        <v>35</v>
      </c>
      <c r="N63" s="23">
        <v>45171</v>
      </c>
      <c r="O63" s="22" t="str">
        <f>IF(AND(Inventory[[#This Row],[SellingPrice]]&lt;&gt;"", Inventory[[#This Row],[SellingPrice]]&gt;0), "Sold", "In Stock")</f>
        <v>Sold</v>
      </c>
      <c r="P63" s="25">
        <f ca="1">IF(AND(Inventory[[#This Row],[StockStatus]]="Sold", ISNUMBER(Inventory[[#This Row],[SaleDate]])), Inventory[[#This Row],[SaleDate]] - Inventory[[#This Row],[PurchaseDate]], TODAY() - Inventory[[#This Row],[PurchaseDate]])</f>
        <v>32</v>
      </c>
    </row>
    <row r="64" spans="1:16" x14ac:dyDescent="0.2">
      <c r="A64" s="21" t="s">
        <v>89</v>
      </c>
      <c r="B64" s="22" t="s">
        <v>24</v>
      </c>
      <c r="C64" s="22" t="s">
        <v>23</v>
      </c>
      <c r="D64" s="22" t="s">
        <v>158</v>
      </c>
      <c r="E64" s="22">
        <v>2.2999999999999998</v>
      </c>
      <c r="F64" s="22">
        <v>50.8758087</v>
      </c>
      <c r="G64" s="22">
        <f>Inventory[[#This Row],[PurchasePrice/Gram]]*Inventory[[#This Row],[Weight(gm)]]</f>
        <v>117.01436000999999</v>
      </c>
      <c r="H64" s="23">
        <v>45139</v>
      </c>
      <c r="I64" s="22">
        <v>225</v>
      </c>
      <c r="J64" s="22">
        <v>200</v>
      </c>
      <c r="K64" s="40">
        <f>IF(OR(Inventory[[#This Row],[SellingPrice]]=0, Inventory[[#This Row],[SellingPrice]]=""), 0, Inventory[[#This Row],[SellingPrice]] - Inventory[[#This Row],[TotalCost]])</f>
        <v>82.98563999000001</v>
      </c>
      <c r="L64" s="24">
        <f>IF(Inventory[[#This Row],[SellingPrice]]&gt;0, Inventory[[#This Row],[GrossMargin]]/Inventory[[#This Row],[SellingPrice]], 0)</f>
        <v>0.41492819995000008</v>
      </c>
      <c r="M64" s="22" t="s">
        <v>90</v>
      </c>
      <c r="N64" s="23">
        <v>45263</v>
      </c>
      <c r="O64" s="22" t="str">
        <f>IF(AND(Inventory[[#This Row],[SellingPrice]]&lt;&gt;"", Inventory[[#This Row],[SellingPrice]]&gt;0), "Sold", "In Stock")</f>
        <v>Sold</v>
      </c>
      <c r="P64" s="25">
        <f ca="1">IF(AND(Inventory[[#This Row],[StockStatus]]="Sold", ISNUMBER(Inventory[[#This Row],[SaleDate]])), Inventory[[#This Row],[SaleDate]] - Inventory[[#This Row],[PurchaseDate]], TODAY() - Inventory[[#This Row],[PurchaseDate]])</f>
        <v>124</v>
      </c>
    </row>
    <row r="65" spans="1:16" x14ac:dyDescent="0.2">
      <c r="A65" s="21" t="s">
        <v>92</v>
      </c>
      <c r="B65" s="22" t="s">
        <v>91</v>
      </c>
      <c r="C65" s="22" t="s">
        <v>91</v>
      </c>
      <c r="D65" s="22" t="s">
        <v>158</v>
      </c>
      <c r="E65" s="22">
        <v>1.5</v>
      </c>
      <c r="F65" s="22">
        <v>50.8758087</v>
      </c>
      <c r="G65" s="22">
        <f>Inventory[[#This Row],[PurchasePrice/Gram]]*Inventory[[#This Row],[Weight(gm)]]</f>
        <v>76.313713050000004</v>
      </c>
      <c r="H65" s="23">
        <v>45139</v>
      </c>
      <c r="I65" s="22">
        <v>150</v>
      </c>
      <c r="J65" s="22">
        <v>0</v>
      </c>
      <c r="K65" s="40">
        <f>IF(OR(Inventory[[#This Row],[SellingPrice]]=0, Inventory[[#This Row],[SellingPrice]]=""), 0, Inventory[[#This Row],[SellingPrice]] - Inventory[[#This Row],[TotalCost]])</f>
        <v>0</v>
      </c>
      <c r="L65" s="24">
        <f>IF(Inventory[[#This Row],[SellingPrice]]&gt;0, Inventory[[#This Row],[GrossMargin]]/Inventory[[#This Row],[SellingPrice]], 0)</f>
        <v>0</v>
      </c>
      <c r="M65" s="22"/>
      <c r="N65" s="23"/>
      <c r="O65" s="22" t="str">
        <f>IF(AND(Inventory[[#This Row],[SellingPrice]]&lt;&gt;"", Inventory[[#This Row],[SellingPrice]]&gt;0), "Sold", "In Stock")</f>
        <v>In Stock</v>
      </c>
      <c r="P65" s="25">
        <f ca="1">IF(AND(Inventory[[#This Row],[StockStatus]]="Sold", ISNUMBER(Inventory[[#This Row],[SaleDate]])), Inventory[[#This Row],[SaleDate]] - Inventory[[#This Row],[PurchaseDate]], TODAY() - Inventory[[#This Row],[PurchaseDate]])</f>
        <v>733</v>
      </c>
    </row>
    <row r="66" spans="1:16" x14ac:dyDescent="0.2">
      <c r="A66" s="21" t="s">
        <v>93</v>
      </c>
      <c r="B66" s="22" t="s">
        <v>91</v>
      </c>
      <c r="C66" s="22" t="s">
        <v>91</v>
      </c>
      <c r="D66" s="22" t="s">
        <v>158</v>
      </c>
      <c r="E66" s="22">
        <v>4.2</v>
      </c>
      <c r="F66" s="22">
        <v>50.8758087</v>
      </c>
      <c r="G66" s="22">
        <f>Inventory[[#This Row],[PurchasePrice/Gram]]*Inventory[[#This Row],[Weight(gm)]]</f>
        <v>213.67839654000002</v>
      </c>
      <c r="H66" s="23">
        <v>45139</v>
      </c>
      <c r="I66" s="22">
        <v>375</v>
      </c>
      <c r="J66" s="22">
        <v>0</v>
      </c>
      <c r="K66" s="40">
        <f>IF(OR(Inventory[[#This Row],[SellingPrice]]=0, Inventory[[#This Row],[SellingPrice]]=""), 0, Inventory[[#This Row],[SellingPrice]] - Inventory[[#This Row],[TotalCost]])</f>
        <v>0</v>
      </c>
      <c r="L66" s="24">
        <f>IF(Inventory[[#This Row],[SellingPrice]]&gt;0, Inventory[[#This Row],[GrossMargin]]/Inventory[[#This Row],[SellingPrice]], 0)</f>
        <v>0</v>
      </c>
      <c r="M66" s="22"/>
      <c r="N66" s="23"/>
      <c r="O66" s="22" t="str">
        <f>IF(AND(Inventory[[#This Row],[SellingPrice]]&lt;&gt;"", Inventory[[#This Row],[SellingPrice]]&gt;0), "Sold", "In Stock")</f>
        <v>In Stock</v>
      </c>
      <c r="P66" s="25">
        <f ca="1">IF(AND(Inventory[[#This Row],[StockStatus]]="Sold", ISNUMBER(Inventory[[#This Row],[SaleDate]])), Inventory[[#This Row],[SaleDate]] - Inventory[[#This Row],[PurchaseDate]], TODAY() - Inventory[[#This Row],[PurchaseDate]])</f>
        <v>733</v>
      </c>
    </row>
    <row r="67" spans="1:16" x14ac:dyDescent="0.2">
      <c r="A67" s="21" t="s">
        <v>94</v>
      </c>
      <c r="B67" s="22" t="s">
        <v>91</v>
      </c>
      <c r="C67" s="22" t="s">
        <v>91</v>
      </c>
      <c r="D67" s="22" t="s">
        <v>158</v>
      </c>
      <c r="E67" s="22">
        <v>2.9</v>
      </c>
      <c r="F67" s="22">
        <v>50.8758087</v>
      </c>
      <c r="G67" s="22">
        <f>Inventory[[#This Row],[PurchasePrice/Gram]]*Inventory[[#This Row],[Weight(gm)]]</f>
        <v>147.53984523</v>
      </c>
      <c r="H67" s="23">
        <v>45139</v>
      </c>
      <c r="I67" s="22">
        <v>275</v>
      </c>
      <c r="J67" s="22">
        <v>0</v>
      </c>
      <c r="K67" s="40">
        <f>IF(OR(Inventory[[#This Row],[SellingPrice]]=0, Inventory[[#This Row],[SellingPrice]]=""), 0, Inventory[[#This Row],[SellingPrice]] - Inventory[[#This Row],[TotalCost]])</f>
        <v>0</v>
      </c>
      <c r="L67" s="24">
        <f>IF(Inventory[[#This Row],[SellingPrice]]&gt;0, Inventory[[#This Row],[GrossMargin]]/Inventory[[#This Row],[SellingPrice]], 0)</f>
        <v>0</v>
      </c>
      <c r="M67" s="22"/>
      <c r="N67" s="23"/>
      <c r="O67" s="22" t="str">
        <f>IF(AND(Inventory[[#This Row],[SellingPrice]]&lt;&gt;"", Inventory[[#This Row],[SellingPrice]]&gt;0), "Sold", "In Stock")</f>
        <v>In Stock</v>
      </c>
      <c r="P67" s="25">
        <f ca="1">IF(AND(Inventory[[#This Row],[StockStatus]]="Sold", ISNUMBER(Inventory[[#This Row],[SaleDate]])), Inventory[[#This Row],[SaleDate]] - Inventory[[#This Row],[PurchaseDate]], TODAY() - Inventory[[#This Row],[PurchaseDate]])</f>
        <v>733</v>
      </c>
    </row>
    <row r="68" spans="1:16" x14ac:dyDescent="0.2">
      <c r="A68" s="21" t="s">
        <v>95</v>
      </c>
      <c r="B68" s="22" t="s">
        <v>91</v>
      </c>
      <c r="C68" s="22" t="s">
        <v>91</v>
      </c>
      <c r="D68" s="22" t="s">
        <v>158</v>
      </c>
      <c r="E68" s="22">
        <v>2</v>
      </c>
      <c r="F68" s="22">
        <v>50.8758087</v>
      </c>
      <c r="G68" s="22">
        <f>Inventory[[#This Row],[PurchasePrice/Gram]]*Inventory[[#This Row],[Weight(gm)]]</f>
        <v>101.7516174</v>
      </c>
      <c r="H68" s="23">
        <v>45139</v>
      </c>
      <c r="I68" s="22">
        <v>225</v>
      </c>
      <c r="J68" s="22">
        <v>0</v>
      </c>
      <c r="K68" s="40">
        <f>IF(OR(Inventory[[#This Row],[SellingPrice]]=0, Inventory[[#This Row],[SellingPrice]]=""), 0, Inventory[[#This Row],[SellingPrice]] - Inventory[[#This Row],[TotalCost]])</f>
        <v>0</v>
      </c>
      <c r="L68" s="24">
        <f>IF(Inventory[[#This Row],[SellingPrice]]&gt;0, Inventory[[#This Row],[GrossMargin]]/Inventory[[#This Row],[SellingPrice]], 0)</f>
        <v>0</v>
      </c>
      <c r="M68" s="22"/>
      <c r="N68" s="23"/>
      <c r="O68" s="22" t="str">
        <f>IF(AND(Inventory[[#This Row],[SellingPrice]]&lt;&gt;"", Inventory[[#This Row],[SellingPrice]]&gt;0), "Sold", "In Stock")</f>
        <v>In Stock</v>
      </c>
      <c r="P68" s="25">
        <f ca="1">IF(AND(Inventory[[#This Row],[StockStatus]]="Sold", ISNUMBER(Inventory[[#This Row],[SaleDate]])), Inventory[[#This Row],[SaleDate]] - Inventory[[#This Row],[PurchaseDate]], TODAY() - Inventory[[#This Row],[PurchaseDate]])</f>
        <v>733</v>
      </c>
    </row>
    <row r="69" spans="1:16" x14ac:dyDescent="0.2">
      <c r="A69" s="21" t="s">
        <v>96</v>
      </c>
      <c r="B69" s="22" t="s">
        <v>91</v>
      </c>
      <c r="C69" s="22" t="s">
        <v>91</v>
      </c>
      <c r="D69" s="22" t="s">
        <v>158</v>
      </c>
      <c r="E69" s="22">
        <v>1.3</v>
      </c>
      <c r="F69" s="22">
        <v>50.8758087</v>
      </c>
      <c r="G69" s="22">
        <f>Inventory[[#This Row],[PurchasePrice/Gram]]*Inventory[[#This Row],[Weight(gm)]]</f>
        <v>66.138551309999997</v>
      </c>
      <c r="H69" s="23">
        <v>45139</v>
      </c>
      <c r="I69" s="22">
        <v>150</v>
      </c>
      <c r="J69" s="22">
        <v>135</v>
      </c>
      <c r="K69" s="40">
        <f>IF(OR(Inventory[[#This Row],[SellingPrice]]=0, Inventory[[#This Row],[SellingPrice]]=""), 0, Inventory[[#This Row],[SellingPrice]] - Inventory[[#This Row],[TotalCost]])</f>
        <v>68.861448690000003</v>
      </c>
      <c r="L69" s="24">
        <f>IF(Inventory[[#This Row],[SellingPrice]]&gt;0, Inventory[[#This Row],[GrossMargin]]/Inventory[[#This Row],[SellingPrice]], 0)</f>
        <v>0.51008480511111109</v>
      </c>
      <c r="M69" s="22" t="s">
        <v>174</v>
      </c>
      <c r="N69" s="23">
        <v>45200</v>
      </c>
      <c r="O69" s="22" t="str">
        <f>IF(AND(Inventory[[#This Row],[SellingPrice]]&lt;&gt;"", Inventory[[#This Row],[SellingPrice]]&gt;0), "Sold", "In Stock")</f>
        <v>Sold</v>
      </c>
      <c r="P69" s="25">
        <f ca="1">IF(AND(Inventory[[#This Row],[StockStatus]]="Sold", ISNUMBER(Inventory[[#This Row],[SaleDate]])), Inventory[[#This Row],[SaleDate]] - Inventory[[#This Row],[PurchaseDate]], TODAY() - Inventory[[#This Row],[PurchaseDate]])</f>
        <v>61</v>
      </c>
    </row>
    <row r="70" spans="1:16" x14ac:dyDescent="0.2">
      <c r="A70" s="21" t="s">
        <v>97</v>
      </c>
      <c r="B70" s="22" t="s">
        <v>91</v>
      </c>
      <c r="C70" s="22" t="s">
        <v>91</v>
      </c>
      <c r="D70" s="22" t="s">
        <v>158</v>
      </c>
      <c r="E70" s="22">
        <v>3.6</v>
      </c>
      <c r="F70" s="22">
        <v>50.8758087</v>
      </c>
      <c r="G70" s="22">
        <f>Inventory[[#This Row],[PurchasePrice/Gram]]*Inventory[[#This Row],[Weight(gm)]]</f>
        <v>183.15291132000002</v>
      </c>
      <c r="H70" s="23">
        <v>45139</v>
      </c>
      <c r="I70" s="22">
        <v>325</v>
      </c>
      <c r="J70" s="22">
        <v>0</v>
      </c>
      <c r="K70" s="40">
        <f>IF(OR(Inventory[[#This Row],[SellingPrice]]=0, Inventory[[#This Row],[SellingPrice]]=""), 0, Inventory[[#This Row],[SellingPrice]] - Inventory[[#This Row],[TotalCost]])</f>
        <v>0</v>
      </c>
      <c r="L70" s="24">
        <f>IF(Inventory[[#This Row],[SellingPrice]]&gt;0, Inventory[[#This Row],[GrossMargin]]/Inventory[[#This Row],[SellingPrice]], 0)</f>
        <v>0</v>
      </c>
      <c r="M70" s="22"/>
      <c r="N70" s="23"/>
      <c r="O70" s="22" t="str">
        <f>IF(AND(Inventory[[#This Row],[SellingPrice]]&lt;&gt;"", Inventory[[#This Row],[SellingPrice]]&gt;0), "Sold", "In Stock")</f>
        <v>In Stock</v>
      </c>
      <c r="P70" s="25">
        <f ca="1">IF(AND(Inventory[[#This Row],[StockStatus]]="Sold", ISNUMBER(Inventory[[#This Row],[SaleDate]])), Inventory[[#This Row],[SaleDate]] - Inventory[[#This Row],[PurchaseDate]], TODAY() - Inventory[[#This Row],[PurchaseDate]])</f>
        <v>733</v>
      </c>
    </row>
    <row r="71" spans="1:16" x14ac:dyDescent="0.2">
      <c r="A71" s="21" t="s">
        <v>98</v>
      </c>
      <c r="B71" s="22" t="s">
        <v>91</v>
      </c>
      <c r="C71" s="22" t="s">
        <v>91</v>
      </c>
      <c r="D71" s="22" t="s">
        <v>158</v>
      </c>
      <c r="E71" s="22">
        <v>4.0999999999999996</v>
      </c>
      <c r="F71" s="22">
        <v>50.8758087</v>
      </c>
      <c r="G71" s="22">
        <f>Inventory[[#This Row],[PurchasePrice/Gram]]*Inventory[[#This Row],[Weight(gm)]]</f>
        <v>208.59081566999998</v>
      </c>
      <c r="H71" s="23">
        <v>45139</v>
      </c>
      <c r="I71" s="22">
        <v>375</v>
      </c>
      <c r="J71" s="22">
        <v>375</v>
      </c>
      <c r="K71" s="40">
        <f>IF(OR(Inventory[[#This Row],[SellingPrice]]=0, Inventory[[#This Row],[SellingPrice]]=""), 0, Inventory[[#This Row],[SellingPrice]] - Inventory[[#This Row],[TotalCost]])</f>
        <v>166.40918433000002</v>
      </c>
      <c r="L71" s="24">
        <f>IF(Inventory[[#This Row],[SellingPrice]]&gt;0, Inventory[[#This Row],[GrossMargin]]/Inventory[[#This Row],[SellingPrice]], 0)</f>
        <v>0.44375782488000004</v>
      </c>
      <c r="M71" s="22" t="s">
        <v>99</v>
      </c>
      <c r="N71" s="23">
        <v>45519</v>
      </c>
      <c r="O71" s="22" t="str">
        <f>IF(AND(Inventory[[#This Row],[SellingPrice]]&lt;&gt;"", Inventory[[#This Row],[SellingPrice]]&gt;0), "Sold", "In Stock")</f>
        <v>Sold</v>
      </c>
      <c r="P71" s="25">
        <f ca="1">IF(AND(Inventory[[#This Row],[StockStatus]]="Sold", ISNUMBER(Inventory[[#This Row],[SaleDate]])), Inventory[[#This Row],[SaleDate]] - Inventory[[#This Row],[PurchaseDate]], TODAY() - Inventory[[#This Row],[PurchaseDate]])</f>
        <v>380</v>
      </c>
    </row>
    <row r="72" spans="1:16" x14ac:dyDescent="0.2">
      <c r="A72" s="21" t="s">
        <v>100</v>
      </c>
      <c r="B72" s="22" t="s">
        <v>91</v>
      </c>
      <c r="C72" s="22" t="s">
        <v>91</v>
      </c>
      <c r="D72" s="22" t="s">
        <v>158</v>
      </c>
      <c r="E72" s="22">
        <v>3.3</v>
      </c>
      <c r="F72" s="22">
        <v>50.8758087</v>
      </c>
      <c r="G72" s="22">
        <f>Inventory[[#This Row],[PurchasePrice/Gram]]*Inventory[[#This Row],[Weight(gm)]]</f>
        <v>167.89016870999998</v>
      </c>
      <c r="H72" s="23">
        <v>45139</v>
      </c>
      <c r="I72" s="22">
        <v>360</v>
      </c>
      <c r="J72" s="22">
        <v>0</v>
      </c>
      <c r="K72" s="40">
        <f>IF(OR(Inventory[[#This Row],[SellingPrice]]=0, Inventory[[#This Row],[SellingPrice]]=""), 0, Inventory[[#This Row],[SellingPrice]] - Inventory[[#This Row],[TotalCost]])</f>
        <v>0</v>
      </c>
      <c r="L72" s="24">
        <f>IF(Inventory[[#This Row],[SellingPrice]]&gt;0, Inventory[[#This Row],[GrossMargin]]/Inventory[[#This Row],[SellingPrice]], 0)</f>
        <v>0</v>
      </c>
      <c r="M72" s="22"/>
      <c r="N72" s="23"/>
      <c r="O72" s="22" t="str">
        <f>IF(AND(Inventory[[#This Row],[SellingPrice]]&lt;&gt;"", Inventory[[#This Row],[SellingPrice]]&gt;0), "Sold", "In Stock")</f>
        <v>In Stock</v>
      </c>
      <c r="P72" s="25">
        <f ca="1">IF(AND(Inventory[[#This Row],[StockStatus]]="Sold", ISNUMBER(Inventory[[#This Row],[SaleDate]])), Inventory[[#This Row],[SaleDate]] - Inventory[[#This Row],[PurchaseDate]], TODAY() - Inventory[[#This Row],[PurchaseDate]])</f>
        <v>733</v>
      </c>
    </row>
    <row r="73" spans="1:16" x14ac:dyDescent="0.2">
      <c r="A73" s="21" t="s">
        <v>101</v>
      </c>
      <c r="B73" s="22" t="s">
        <v>91</v>
      </c>
      <c r="C73" s="22" t="s">
        <v>91</v>
      </c>
      <c r="D73" s="22" t="s">
        <v>158</v>
      </c>
      <c r="E73" s="22">
        <v>0.9</v>
      </c>
      <c r="F73" s="22">
        <v>50.8758087</v>
      </c>
      <c r="G73" s="22">
        <f>Inventory[[#This Row],[PurchasePrice/Gram]]*Inventory[[#This Row],[Weight(gm)]]</f>
        <v>45.788227830000004</v>
      </c>
      <c r="H73" s="23">
        <v>45139</v>
      </c>
      <c r="I73" s="22">
        <v>95</v>
      </c>
      <c r="J73" s="22">
        <v>80</v>
      </c>
      <c r="K73" s="40">
        <f>IF(OR(Inventory[[#This Row],[SellingPrice]]=0, Inventory[[#This Row],[SellingPrice]]=""), 0, Inventory[[#This Row],[SellingPrice]] - Inventory[[#This Row],[TotalCost]])</f>
        <v>34.211772169999996</v>
      </c>
      <c r="L73" s="24">
        <f>IF(Inventory[[#This Row],[SellingPrice]]&gt;0, Inventory[[#This Row],[GrossMargin]]/Inventory[[#This Row],[SellingPrice]], 0)</f>
        <v>0.42764715212499993</v>
      </c>
      <c r="M73" s="22" t="s">
        <v>102</v>
      </c>
      <c r="N73" s="23">
        <v>45147</v>
      </c>
      <c r="O73" s="22" t="str">
        <f>IF(AND(Inventory[[#This Row],[SellingPrice]]&lt;&gt;"", Inventory[[#This Row],[SellingPrice]]&gt;0), "Sold", "In Stock")</f>
        <v>Sold</v>
      </c>
      <c r="P73" s="25">
        <f ca="1">IF(AND(Inventory[[#This Row],[StockStatus]]="Sold", ISNUMBER(Inventory[[#This Row],[SaleDate]])), Inventory[[#This Row],[SaleDate]] - Inventory[[#This Row],[PurchaseDate]], TODAY() - Inventory[[#This Row],[PurchaseDate]])</f>
        <v>8</v>
      </c>
    </row>
    <row r="74" spans="1:16" x14ac:dyDescent="0.2">
      <c r="A74" s="21" t="s">
        <v>103</v>
      </c>
      <c r="B74" s="22" t="s">
        <v>91</v>
      </c>
      <c r="C74" s="22" t="s">
        <v>91</v>
      </c>
      <c r="D74" s="22" t="s">
        <v>158</v>
      </c>
      <c r="E74" s="22">
        <v>1.9</v>
      </c>
      <c r="F74" s="22">
        <v>50.8758087</v>
      </c>
      <c r="G74" s="22">
        <f>Inventory[[#This Row],[PurchasePrice/Gram]]*Inventory[[#This Row],[Weight(gm)]]</f>
        <v>96.66403652999999</v>
      </c>
      <c r="H74" s="23">
        <v>45139</v>
      </c>
      <c r="I74" s="22">
        <v>195</v>
      </c>
      <c r="J74" s="22">
        <v>165</v>
      </c>
      <c r="K74" s="40">
        <f>IF(OR(Inventory[[#This Row],[SellingPrice]]=0, Inventory[[#This Row],[SellingPrice]]=""), 0, Inventory[[#This Row],[SellingPrice]] - Inventory[[#This Row],[TotalCost]])</f>
        <v>68.33596347000001</v>
      </c>
      <c r="L74" s="24">
        <f>IF(Inventory[[#This Row],[SellingPrice]]&gt;0, Inventory[[#This Row],[GrossMargin]]/Inventory[[#This Row],[SellingPrice]], 0)</f>
        <v>0.41415735436363643</v>
      </c>
      <c r="M74" s="22" t="s">
        <v>104</v>
      </c>
      <c r="N74" s="23">
        <v>45155</v>
      </c>
      <c r="O74" s="22" t="str">
        <f>IF(AND(Inventory[[#This Row],[SellingPrice]]&lt;&gt;"", Inventory[[#This Row],[SellingPrice]]&gt;0), "Sold", "In Stock")</f>
        <v>Sold</v>
      </c>
      <c r="P74" s="25">
        <f ca="1">IF(AND(Inventory[[#This Row],[StockStatus]]="Sold", ISNUMBER(Inventory[[#This Row],[SaleDate]])), Inventory[[#This Row],[SaleDate]] - Inventory[[#This Row],[PurchaseDate]], TODAY() - Inventory[[#This Row],[PurchaseDate]])</f>
        <v>16</v>
      </c>
    </row>
    <row r="75" spans="1:16" x14ac:dyDescent="0.2">
      <c r="A75" s="21" t="s">
        <v>105</v>
      </c>
      <c r="B75" s="22" t="s">
        <v>91</v>
      </c>
      <c r="C75" s="22" t="s">
        <v>91</v>
      </c>
      <c r="D75" s="22" t="s">
        <v>158</v>
      </c>
      <c r="E75" s="22">
        <v>1.8</v>
      </c>
      <c r="F75" s="22">
        <v>50.8758087</v>
      </c>
      <c r="G75" s="22">
        <f>Inventory[[#This Row],[PurchasePrice/Gram]]*Inventory[[#This Row],[Weight(gm)]]</f>
        <v>91.576455660000008</v>
      </c>
      <c r="H75" s="23">
        <v>45139</v>
      </c>
      <c r="I75" s="22">
        <v>180</v>
      </c>
      <c r="J75" s="22">
        <v>155</v>
      </c>
      <c r="K75" s="40">
        <f>IF(OR(Inventory[[#This Row],[SellingPrice]]=0, Inventory[[#This Row],[SellingPrice]]=""), 0, Inventory[[#This Row],[SellingPrice]] - Inventory[[#This Row],[TotalCost]])</f>
        <v>63.423544339999992</v>
      </c>
      <c r="L75" s="24">
        <f>IF(Inventory[[#This Row],[SellingPrice]]&gt;0, Inventory[[#This Row],[GrossMargin]]/Inventory[[#This Row],[SellingPrice]], 0)</f>
        <v>0.40918415703225802</v>
      </c>
      <c r="M75" s="22" t="s">
        <v>16</v>
      </c>
      <c r="N75" s="23">
        <v>45151</v>
      </c>
      <c r="O75" s="22" t="str">
        <f>IF(AND(Inventory[[#This Row],[SellingPrice]]&lt;&gt;"", Inventory[[#This Row],[SellingPrice]]&gt;0), "Sold", "In Stock")</f>
        <v>Sold</v>
      </c>
      <c r="P75" s="25">
        <f ca="1">IF(AND(Inventory[[#This Row],[StockStatus]]="Sold", ISNUMBER(Inventory[[#This Row],[SaleDate]])), Inventory[[#This Row],[SaleDate]] - Inventory[[#This Row],[PurchaseDate]], TODAY() - Inventory[[#This Row],[PurchaseDate]])</f>
        <v>12</v>
      </c>
    </row>
    <row r="76" spans="1:16" x14ac:dyDescent="0.2">
      <c r="A76" s="21" t="s">
        <v>106</v>
      </c>
      <c r="B76" s="22" t="s">
        <v>91</v>
      </c>
      <c r="C76" s="22" t="s">
        <v>91</v>
      </c>
      <c r="D76" s="22" t="s">
        <v>158</v>
      </c>
      <c r="E76" s="22">
        <v>3.1</v>
      </c>
      <c r="F76" s="22">
        <v>50.8758087</v>
      </c>
      <c r="G76" s="22">
        <f>Inventory[[#This Row],[PurchasePrice/Gram]]*Inventory[[#This Row],[Weight(gm)]]</f>
        <v>157.71500697000002</v>
      </c>
      <c r="H76" s="23">
        <v>45139</v>
      </c>
      <c r="I76" s="22">
        <v>280</v>
      </c>
      <c r="J76" s="22">
        <v>0</v>
      </c>
      <c r="K76" s="40">
        <f>IF(OR(Inventory[[#This Row],[SellingPrice]]=0, Inventory[[#This Row],[SellingPrice]]=""), 0, Inventory[[#This Row],[SellingPrice]] - Inventory[[#This Row],[TotalCost]])</f>
        <v>0</v>
      </c>
      <c r="L76" s="24">
        <f>IF(Inventory[[#This Row],[SellingPrice]]&gt;0, Inventory[[#This Row],[GrossMargin]]/Inventory[[#This Row],[SellingPrice]], 0)</f>
        <v>0</v>
      </c>
      <c r="M76" s="22"/>
      <c r="N76" s="23"/>
      <c r="O76" s="22" t="str">
        <f>IF(AND(Inventory[[#This Row],[SellingPrice]]&lt;&gt;"", Inventory[[#This Row],[SellingPrice]]&gt;0), "Sold", "In Stock")</f>
        <v>In Stock</v>
      </c>
      <c r="P76" s="25">
        <f ca="1">IF(AND(Inventory[[#This Row],[StockStatus]]="Sold", ISNUMBER(Inventory[[#This Row],[SaleDate]])), Inventory[[#This Row],[SaleDate]] - Inventory[[#This Row],[PurchaseDate]], TODAY() - Inventory[[#This Row],[PurchaseDate]])</f>
        <v>733</v>
      </c>
    </row>
    <row r="77" spans="1:16" x14ac:dyDescent="0.2">
      <c r="A77" s="21" t="s">
        <v>107</v>
      </c>
      <c r="B77" s="22" t="s">
        <v>91</v>
      </c>
      <c r="C77" s="22" t="s">
        <v>91</v>
      </c>
      <c r="D77" s="22" t="s">
        <v>158</v>
      </c>
      <c r="E77" s="22">
        <v>2.8</v>
      </c>
      <c r="F77" s="22">
        <v>50.781455399999999</v>
      </c>
      <c r="G77" s="22">
        <f>Inventory[[#This Row],[PurchasePrice/Gram]]*Inventory[[#This Row],[Weight(gm)]]</f>
        <v>142.18807511999998</v>
      </c>
      <c r="H77" s="23">
        <v>45167</v>
      </c>
      <c r="I77" s="22">
        <v>265</v>
      </c>
      <c r="J77" s="22">
        <v>0</v>
      </c>
      <c r="K77" s="40">
        <f>IF(OR(Inventory[[#This Row],[SellingPrice]]=0, Inventory[[#This Row],[SellingPrice]]=""), 0, Inventory[[#This Row],[SellingPrice]] - Inventory[[#This Row],[TotalCost]])</f>
        <v>0</v>
      </c>
      <c r="L77" s="24">
        <f>IF(Inventory[[#This Row],[SellingPrice]]&gt;0, Inventory[[#This Row],[GrossMargin]]/Inventory[[#This Row],[SellingPrice]], 0)</f>
        <v>0</v>
      </c>
      <c r="M77" s="22"/>
      <c r="N77" s="23"/>
      <c r="O77" s="22" t="str">
        <f>IF(AND(Inventory[[#This Row],[SellingPrice]]&lt;&gt;"", Inventory[[#This Row],[SellingPrice]]&gt;0), "Sold", "In Stock")</f>
        <v>In Stock</v>
      </c>
      <c r="P77" s="25">
        <f ca="1">IF(AND(Inventory[[#This Row],[StockStatus]]="Sold", ISNUMBER(Inventory[[#This Row],[SaleDate]])), Inventory[[#This Row],[SaleDate]] - Inventory[[#This Row],[PurchaseDate]], TODAY() - Inventory[[#This Row],[PurchaseDate]])</f>
        <v>705</v>
      </c>
    </row>
    <row r="78" spans="1:16" x14ac:dyDescent="0.2">
      <c r="A78" s="21" t="s">
        <v>108</v>
      </c>
      <c r="B78" s="22" t="s">
        <v>91</v>
      </c>
      <c r="C78" s="22" t="s">
        <v>91</v>
      </c>
      <c r="D78" s="22" t="s">
        <v>158</v>
      </c>
      <c r="E78" s="22">
        <v>1.2</v>
      </c>
      <c r="F78" s="22">
        <v>50.781455399999999</v>
      </c>
      <c r="G78" s="22">
        <f>Inventory[[#This Row],[PurchasePrice/Gram]]*Inventory[[#This Row],[Weight(gm)]]</f>
        <v>60.937746479999994</v>
      </c>
      <c r="H78" s="23">
        <v>45167</v>
      </c>
      <c r="I78" s="22">
        <v>120</v>
      </c>
      <c r="J78" s="22">
        <v>0</v>
      </c>
      <c r="K78" s="40">
        <f>IF(OR(Inventory[[#This Row],[SellingPrice]]=0, Inventory[[#This Row],[SellingPrice]]=""), 0, Inventory[[#This Row],[SellingPrice]] - Inventory[[#This Row],[TotalCost]])</f>
        <v>0</v>
      </c>
      <c r="L78" s="24">
        <f>IF(Inventory[[#This Row],[SellingPrice]]&gt;0, Inventory[[#This Row],[GrossMargin]]/Inventory[[#This Row],[SellingPrice]], 0)</f>
        <v>0</v>
      </c>
      <c r="M78" s="22"/>
      <c r="N78" s="23"/>
      <c r="O78" s="22" t="str">
        <f>IF(AND(Inventory[[#This Row],[SellingPrice]]&lt;&gt;"", Inventory[[#This Row],[SellingPrice]]&gt;0), "Sold", "In Stock")</f>
        <v>In Stock</v>
      </c>
      <c r="P78" s="25">
        <f ca="1">IF(AND(Inventory[[#This Row],[StockStatus]]="Sold", ISNUMBER(Inventory[[#This Row],[SaleDate]])), Inventory[[#This Row],[SaleDate]] - Inventory[[#This Row],[PurchaseDate]], TODAY() - Inventory[[#This Row],[PurchaseDate]])</f>
        <v>705</v>
      </c>
    </row>
    <row r="79" spans="1:16" x14ac:dyDescent="0.2">
      <c r="A79" s="21" t="s">
        <v>109</v>
      </c>
      <c r="B79" s="22" t="s">
        <v>91</v>
      </c>
      <c r="C79" s="22" t="s">
        <v>91</v>
      </c>
      <c r="D79" s="22" t="s">
        <v>158</v>
      </c>
      <c r="E79" s="22">
        <v>2.6</v>
      </c>
      <c r="F79" s="22">
        <v>50.781455399999999</v>
      </c>
      <c r="G79" s="22">
        <f>Inventory[[#This Row],[PurchasePrice/Gram]]*Inventory[[#This Row],[Weight(gm)]]</f>
        <v>132.03178403999999</v>
      </c>
      <c r="H79" s="23">
        <v>45167</v>
      </c>
      <c r="I79" s="22">
        <v>260</v>
      </c>
      <c r="J79" s="22">
        <v>0</v>
      </c>
      <c r="K79" s="40">
        <f>IF(OR(Inventory[[#This Row],[SellingPrice]]=0, Inventory[[#This Row],[SellingPrice]]=""), 0, Inventory[[#This Row],[SellingPrice]] - Inventory[[#This Row],[TotalCost]])</f>
        <v>0</v>
      </c>
      <c r="L79" s="24">
        <f>IF(Inventory[[#This Row],[SellingPrice]]&gt;0, Inventory[[#This Row],[GrossMargin]]/Inventory[[#This Row],[SellingPrice]], 0)</f>
        <v>0</v>
      </c>
      <c r="M79" s="22"/>
      <c r="N79" s="23"/>
      <c r="O79" s="22" t="str">
        <f>IF(AND(Inventory[[#This Row],[SellingPrice]]&lt;&gt;"", Inventory[[#This Row],[SellingPrice]]&gt;0), "Sold", "In Stock")</f>
        <v>In Stock</v>
      </c>
      <c r="P79" s="25">
        <f ca="1">IF(AND(Inventory[[#This Row],[StockStatus]]="Sold", ISNUMBER(Inventory[[#This Row],[SaleDate]])), Inventory[[#This Row],[SaleDate]] - Inventory[[#This Row],[PurchaseDate]], TODAY() - Inventory[[#This Row],[PurchaseDate]])</f>
        <v>705</v>
      </c>
    </row>
    <row r="80" spans="1:16" x14ac:dyDescent="0.2">
      <c r="A80" s="21" t="s">
        <v>110</v>
      </c>
      <c r="B80" s="22" t="s">
        <v>91</v>
      </c>
      <c r="C80" s="22" t="s">
        <v>91</v>
      </c>
      <c r="D80" s="22" t="s">
        <v>158</v>
      </c>
      <c r="E80" s="22">
        <v>2.8</v>
      </c>
      <c r="F80" s="22">
        <v>50.781455399999999</v>
      </c>
      <c r="G80" s="22">
        <f>Inventory[[#This Row],[PurchasePrice/Gram]]*Inventory[[#This Row],[Weight(gm)]]</f>
        <v>142.18807511999998</v>
      </c>
      <c r="H80" s="23">
        <v>45167</v>
      </c>
      <c r="I80" s="22">
        <v>295</v>
      </c>
      <c r="J80" s="22">
        <v>0</v>
      </c>
      <c r="K80" s="40">
        <f>IF(OR(Inventory[[#This Row],[SellingPrice]]=0, Inventory[[#This Row],[SellingPrice]]=""), 0, Inventory[[#This Row],[SellingPrice]] - Inventory[[#This Row],[TotalCost]])</f>
        <v>0</v>
      </c>
      <c r="L80" s="24">
        <f>IF(Inventory[[#This Row],[SellingPrice]]&gt;0, Inventory[[#This Row],[GrossMargin]]/Inventory[[#This Row],[SellingPrice]], 0)</f>
        <v>0</v>
      </c>
      <c r="M80" s="22"/>
      <c r="N80" s="23"/>
      <c r="O80" s="22" t="str">
        <f>IF(AND(Inventory[[#This Row],[SellingPrice]]&lt;&gt;"", Inventory[[#This Row],[SellingPrice]]&gt;0), "Sold", "In Stock")</f>
        <v>In Stock</v>
      </c>
      <c r="P80" s="25">
        <f ca="1">IF(AND(Inventory[[#This Row],[StockStatus]]="Sold", ISNUMBER(Inventory[[#This Row],[SaleDate]])), Inventory[[#This Row],[SaleDate]] - Inventory[[#This Row],[PurchaseDate]], TODAY() - Inventory[[#This Row],[PurchaseDate]])</f>
        <v>705</v>
      </c>
    </row>
    <row r="81" spans="1:16" x14ac:dyDescent="0.2">
      <c r="A81" s="21" t="s">
        <v>111</v>
      </c>
      <c r="B81" s="22" t="s">
        <v>91</v>
      </c>
      <c r="C81" s="22" t="s">
        <v>91</v>
      </c>
      <c r="D81" s="22" t="s">
        <v>158</v>
      </c>
      <c r="E81" s="22">
        <v>2</v>
      </c>
      <c r="F81" s="22">
        <v>50.781455399999999</v>
      </c>
      <c r="G81" s="22">
        <f>Inventory[[#This Row],[PurchasePrice/Gram]]*Inventory[[#This Row],[Weight(gm)]]</f>
        <v>101.5629108</v>
      </c>
      <c r="H81" s="23">
        <v>45167</v>
      </c>
      <c r="I81" s="22">
        <v>200</v>
      </c>
      <c r="J81" s="22">
        <v>0</v>
      </c>
      <c r="K81" s="40">
        <f>IF(OR(Inventory[[#This Row],[SellingPrice]]=0, Inventory[[#This Row],[SellingPrice]]=""), 0, Inventory[[#This Row],[SellingPrice]] - Inventory[[#This Row],[TotalCost]])</f>
        <v>0</v>
      </c>
      <c r="L81" s="24">
        <f>IF(Inventory[[#This Row],[SellingPrice]]&gt;0, Inventory[[#This Row],[GrossMargin]]/Inventory[[#This Row],[SellingPrice]], 0)</f>
        <v>0</v>
      </c>
      <c r="M81" s="22"/>
      <c r="N81" s="23"/>
      <c r="O81" s="22" t="str">
        <f>IF(AND(Inventory[[#This Row],[SellingPrice]]&lt;&gt;"", Inventory[[#This Row],[SellingPrice]]&gt;0), "Sold", "In Stock")</f>
        <v>In Stock</v>
      </c>
      <c r="P81" s="25">
        <f ca="1">IF(AND(Inventory[[#This Row],[StockStatus]]="Sold", ISNUMBER(Inventory[[#This Row],[SaleDate]])), Inventory[[#This Row],[SaleDate]] - Inventory[[#This Row],[PurchaseDate]], TODAY() - Inventory[[#This Row],[PurchaseDate]])</f>
        <v>705</v>
      </c>
    </row>
    <row r="82" spans="1:16" x14ac:dyDescent="0.2">
      <c r="A82" s="21" t="s">
        <v>112</v>
      </c>
      <c r="B82" s="22" t="s">
        <v>91</v>
      </c>
      <c r="C82" s="22" t="s">
        <v>91</v>
      </c>
      <c r="D82" s="22" t="s">
        <v>158</v>
      </c>
      <c r="E82" s="22">
        <v>1.8</v>
      </c>
      <c r="F82" s="22">
        <v>50.781455399999999</v>
      </c>
      <c r="G82" s="22">
        <f>Inventory[[#This Row],[PurchasePrice/Gram]]*Inventory[[#This Row],[Weight(gm)]]</f>
        <v>91.406619719999995</v>
      </c>
      <c r="H82" s="23">
        <v>45167</v>
      </c>
      <c r="I82" s="22">
        <v>180</v>
      </c>
      <c r="J82" s="22">
        <v>0</v>
      </c>
      <c r="K82" s="40">
        <f>IF(OR(Inventory[[#This Row],[SellingPrice]]=0, Inventory[[#This Row],[SellingPrice]]=""), 0, Inventory[[#This Row],[SellingPrice]] - Inventory[[#This Row],[TotalCost]])</f>
        <v>0</v>
      </c>
      <c r="L82" s="24">
        <f>IF(Inventory[[#This Row],[SellingPrice]]&gt;0, Inventory[[#This Row],[GrossMargin]]/Inventory[[#This Row],[SellingPrice]], 0)</f>
        <v>0</v>
      </c>
      <c r="M82" s="22"/>
      <c r="N82" s="23"/>
      <c r="O82" s="22" t="str">
        <f>IF(AND(Inventory[[#This Row],[SellingPrice]]&lt;&gt;"", Inventory[[#This Row],[SellingPrice]]&gt;0), "Sold", "In Stock")</f>
        <v>In Stock</v>
      </c>
      <c r="P82" s="25">
        <f ca="1">IF(AND(Inventory[[#This Row],[StockStatus]]="Sold", ISNUMBER(Inventory[[#This Row],[SaleDate]])), Inventory[[#This Row],[SaleDate]] - Inventory[[#This Row],[PurchaseDate]], TODAY() - Inventory[[#This Row],[PurchaseDate]])</f>
        <v>705</v>
      </c>
    </row>
    <row r="83" spans="1:16" x14ac:dyDescent="0.2">
      <c r="A83" s="21" t="s">
        <v>114</v>
      </c>
      <c r="B83" s="22" t="s">
        <v>113</v>
      </c>
      <c r="C83" s="22" t="s">
        <v>65</v>
      </c>
      <c r="D83" s="22" t="s">
        <v>158</v>
      </c>
      <c r="E83" s="22">
        <v>4.7</v>
      </c>
      <c r="F83" s="22">
        <v>50.781455399999999</v>
      </c>
      <c r="G83" s="22">
        <f>Inventory[[#This Row],[PurchasePrice/Gram]]*Inventory[[#This Row],[Weight(gm)]]</f>
        <v>238.67284038</v>
      </c>
      <c r="H83" s="23">
        <v>45167</v>
      </c>
      <c r="I83" s="22">
        <v>410</v>
      </c>
      <c r="J83" s="22">
        <v>0</v>
      </c>
      <c r="K83" s="40">
        <f>IF(OR(Inventory[[#This Row],[SellingPrice]]=0, Inventory[[#This Row],[SellingPrice]]=""), 0, Inventory[[#This Row],[SellingPrice]] - Inventory[[#This Row],[TotalCost]])</f>
        <v>0</v>
      </c>
      <c r="L83" s="24">
        <f>IF(Inventory[[#This Row],[SellingPrice]]&gt;0, Inventory[[#This Row],[GrossMargin]]/Inventory[[#This Row],[SellingPrice]], 0)</f>
        <v>0</v>
      </c>
      <c r="M83" s="22"/>
      <c r="N83" s="23"/>
      <c r="O83" s="22" t="str">
        <f>IF(AND(Inventory[[#This Row],[SellingPrice]]&lt;&gt;"", Inventory[[#This Row],[SellingPrice]]&gt;0), "Sold", "In Stock")</f>
        <v>In Stock</v>
      </c>
      <c r="P83" s="25">
        <f ca="1">IF(AND(Inventory[[#This Row],[StockStatus]]="Sold", ISNUMBER(Inventory[[#This Row],[SaleDate]])), Inventory[[#This Row],[SaleDate]] - Inventory[[#This Row],[PurchaseDate]], TODAY() - Inventory[[#This Row],[PurchaseDate]])</f>
        <v>705</v>
      </c>
    </row>
    <row r="84" spans="1:16" x14ac:dyDescent="0.2">
      <c r="A84" s="21" t="s">
        <v>116</v>
      </c>
      <c r="B84" s="22" t="s">
        <v>115</v>
      </c>
      <c r="C84" s="22" t="s">
        <v>65</v>
      </c>
      <c r="D84" s="22" t="s">
        <v>160</v>
      </c>
      <c r="E84" s="22">
        <v>4.7</v>
      </c>
      <c r="F84" s="22">
        <v>50.781455399999999</v>
      </c>
      <c r="G84" s="22">
        <f>Inventory[[#This Row],[PurchasePrice/Gram]]*Inventory[[#This Row],[Weight(gm)]]</f>
        <v>238.67284038</v>
      </c>
      <c r="H84" s="23">
        <v>45167</v>
      </c>
      <c r="I84" s="22">
        <v>410</v>
      </c>
      <c r="J84" s="22">
        <v>0</v>
      </c>
      <c r="K84" s="40">
        <f>IF(OR(Inventory[[#This Row],[SellingPrice]]=0, Inventory[[#This Row],[SellingPrice]]=""), 0, Inventory[[#This Row],[SellingPrice]] - Inventory[[#This Row],[TotalCost]])</f>
        <v>0</v>
      </c>
      <c r="L84" s="24">
        <f>IF(Inventory[[#This Row],[SellingPrice]]&gt;0, Inventory[[#This Row],[GrossMargin]]/Inventory[[#This Row],[SellingPrice]], 0)</f>
        <v>0</v>
      </c>
      <c r="M84" s="22"/>
      <c r="N84" s="23"/>
      <c r="O84" s="22" t="str">
        <f>IF(AND(Inventory[[#This Row],[SellingPrice]]&lt;&gt;"", Inventory[[#This Row],[SellingPrice]]&gt;0), "Sold", "In Stock")</f>
        <v>In Stock</v>
      </c>
      <c r="P84" s="25">
        <f ca="1">IF(AND(Inventory[[#This Row],[StockStatus]]="Sold", ISNUMBER(Inventory[[#This Row],[SaleDate]])), Inventory[[#This Row],[SaleDate]] - Inventory[[#This Row],[PurchaseDate]], TODAY() - Inventory[[#This Row],[PurchaseDate]])</f>
        <v>705</v>
      </c>
    </row>
    <row r="85" spans="1:16" x14ac:dyDescent="0.2">
      <c r="A85" s="21" t="s">
        <v>118</v>
      </c>
      <c r="B85" s="22" t="s">
        <v>117</v>
      </c>
      <c r="C85" s="22" t="s">
        <v>65</v>
      </c>
      <c r="D85" s="22" t="s">
        <v>158</v>
      </c>
      <c r="E85" s="22">
        <v>1.2</v>
      </c>
      <c r="F85" s="22">
        <v>50.781455399999999</v>
      </c>
      <c r="G85" s="22">
        <f>Inventory[[#This Row],[PurchasePrice/Gram]]*Inventory[[#This Row],[Weight(gm)]]</f>
        <v>60.937746479999994</v>
      </c>
      <c r="H85" s="23">
        <v>45167</v>
      </c>
      <c r="I85" s="22">
        <v>125</v>
      </c>
      <c r="J85" s="22">
        <v>0</v>
      </c>
      <c r="K85" s="40">
        <f>IF(OR(Inventory[[#This Row],[SellingPrice]]=0, Inventory[[#This Row],[SellingPrice]]=""), 0, Inventory[[#This Row],[SellingPrice]] - Inventory[[#This Row],[TotalCost]])</f>
        <v>0</v>
      </c>
      <c r="L85" s="24">
        <f>IF(Inventory[[#This Row],[SellingPrice]]&gt;0, Inventory[[#This Row],[GrossMargin]]/Inventory[[#This Row],[SellingPrice]], 0)</f>
        <v>0</v>
      </c>
      <c r="M85" s="22"/>
      <c r="N85" s="23"/>
      <c r="O85" s="22" t="str">
        <f>IF(AND(Inventory[[#This Row],[SellingPrice]]&lt;&gt;"", Inventory[[#This Row],[SellingPrice]]&gt;0), "Sold", "In Stock")</f>
        <v>In Stock</v>
      </c>
      <c r="P85" s="25">
        <f ca="1">IF(AND(Inventory[[#This Row],[StockStatus]]="Sold", ISNUMBER(Inventory[[#This Row],[SaleDate]])), Inventory[[#This Row],[SaleDate]] - Inventory[[#This Row],[PurchaseDate]], TODAY() - Inventory[[#This Row],[PurchaseDate]])</f>
        <v>705</v>
      </c>
    </row>
    <row r="86" spans="1:16" x14ac:dyDescent="0.2">
      <c r="A86" s="21" t="s">
        <v>120</v>
      </c>
      <c r="B86" s="22" t="s">
        <v>119</v>
      </c>
      <c r="C86" s="22" t="s">
        <v>65</v>
      </c>
      <c r="D86" s="22" t="s">
        <v>158</v>
      </c>
      <c r="E86" s="22">
        <v>1.3</v>
      </c>
      <c r="F86" s="22">
        <v>50.781455399999999</v>
      </c>
      <c r="G86" s="22">
        <f>Inventory[[#This Row],[PurchasePrice/Gram]]*Inventory[[#This Row],[Weight(gm)]]</f>
        <v>66.015892019999995</v>
      </c>
      <c r="H86" s="23">
        <v>45167</v>
      </c>
      <c r="I86" s="22">
        <v>125</v>
      </c>
      <c r="J86" s="22">
        <v>0</v>
      </c>
      <c r="K86" s="40">
        <f>IF(OR(Inventory[[#This Row],[SellingPrice]]=0, Inventory[[#This Row],[SellingPrice]]=""), 0, Inventory[[#This Row],[SellingPrice]] - Inventory[[#This Row],[TotalCost]])</f>
        <v>0</v>
      </c>
      <c r="L86" s="24">
        <f>IF(Inventory[[#This Row],[SellingPrice]]&gt;0, Inventory[[#This Row],[GrossMargin]]/Inventory[[#This Row],[SellingPrice]], 0)</f>
        <v>0</v>
      </c>
      <c r="M86" s="22"/>
      <c r="N86" s="23"/>
      <c r="O86" s="22" t="str">
        <f>IF(AND(Inventory[[#This Row],[SellingPrice]]&lt;&gt;"", Inventory[[#This Row],[SellingPrice]]&gt;0), "Sold", "In Stock")</f>
        <v>In Stock</v>
      </c>
      <c r="P86" s="25">
        <f ca="1">IF(AND(Inventory[[#This Row],[StockStatus]]="Sold", ISNUMBER(Inventory[[#This Row],[SaleDate]])), Inventory[[#This Row],[SaleDate]] - Inventory[[#This Row],[PurchaseDate]], TODAY() - Inventory[[#This Row],[PurchaseDate]])</f>
        <v>705</v>
      </c>
    </row>
    <row r="87" spans="1:16" x14ac:dyDescent="0.2">
      <c r="A87" s="21" t="s">
        <v>121</v>
      </c>
      <c r="B87" s="22" t="s">
        <v>113</v>
      </c>
      <c r="C87" s="22" t="s">
        <v>65</v>
      </c>
      <c r="D87" s="22" t="s">
        <v>158</v>
      </c>
      <c r="E87" s="22">
        <v>1.4</v>
      </c>
      <c r="F87" s="22">
        <v>50.781455399999999</v>
      </c>
      <c r="G87" s="22">
        <f>Inventory[[#This Row],[PurchasePrice/Gram]]*Inventory[[#This Row],[Weight(gm)]]</f>
        <v>71.09403755999999</v>
      </c>
      <c r="H87" s="23">
        <v>45167</v>
      </c>
      <c r="I87" s="22">
        <v>145</v>
      </c>
      <c r="J87" s="22">
        <v>0</v>
      </c>
      <c r="K87" s="40">
        <f>IF(OR(Inventory[[#This Row],[SellingPrice]]=0, Inventory[[#This Row],[SellingPrice]]=""), 0, Inventory[[#This Row],[SellingPrice]] - Inventory[[#This Row],[TotalCost]])</f>
        <v>0</v>
      </c>
      <c r="L87" s="24">
        <f>IF(Inventory[[#This Row],[SellingPrice]]&gt;0, Inventory[[#This Row],[GrossMargin]]/Inventory[[#This Row],[SellingPrice]], 0)</f>
        <v>0</v>
      </c>
      <c r="M87" s="22"/>
      <c r="N87" s="23"/>
      <c r="O87" s="22" t="str">
        <f>IF(AND(Inventory[[#This Row],[SellingPrice]]&lt;&gt;"", Inventory[[#This Row],[SellingPrice]]&gt;0), "Sold", "In Stock")</f>
        <v>In Stock</v>
      </c>
      <c r="P87" s="25">
        <f ca="1">IF(AND(Inventory[[#This Row],[StockStatus]]="Sold", ISNUMBER(Inventory[[#This Row],[SaleDate]])), Inventory[[#This Row],[SaleDate]] - Inventory[[#This Row],[PurchaseDate]], TODAY() - Inventory[[#This Row],[PurchaseDate]])</f>
        <v>705</v>
      </c>
    </row>
    <row r="88" spans="1:16" x14ac:dyDescent="0.2">
      <c r="A88" s="21" t="s">
        <v>122</v>
      </c>
      <c r="B88" s="22" t="s">
        <v>115</v>
      </c>
      <c r="C88" s="22" t="s">
        <v>65</v>
      </c>
      <c r="D88" s="22" t="s">
        <v>160</v>
      </c>
      <c r="E88" s="22">
        <v>1.4</v>
      </c>
      <c r="F88" s="22">
        <v>50.781455399999999</v>
      </c>
      <c r="G88" s="22">
        <f>Inventory[[#This Row],[PurchasePrice/Gram]]*Inventory[[#This Row],[Weight(gm)]]</f>
        <v>71.09403755999999</v>
      </c>
      <c r="H88" s="23">
        <v>45167</v>
      </c>
      <c r="I88" s="22">
        <v>145</v>
      </c>
      <c r="J88" s="22">
        <v>0</v>
      </c>
      <c r="K88" s="40">
        <f>IF(OR(Inventory[[#This Row],[SellingPrice]]=0, Inventory[[#This Row],[SellingPrice]]=""), 0, Inventory[[#This Row],[SellingPrice]] - Inventory[[#This Row],[TotalCost]])</f>
        <v>0</v>
      </c>
      <c r="L88" s="24">
        <f>IF(Inventory[[#This Row],[SellingPrice]]&gt;0, Inventory[[#This Row],[GrossMargin]]/Inventory[[#This Row],[SellingPrice]], 0)</f>
        <v>0</v>
      </c>
      <c r="M88" s="22"/>
      <c r="N88" s="23"/>
      <c r="O88" s="22" t="str">
        <f>IF(AND(Inventory[[#This Row],[SellingPrice]]&lt;&gt;"", Inventory[[#This Row],[SellingPrice]]&gt;0), "Sold", "In Stock")</f>
        <v>In Stock</v>
      </c>
      <c r="P88" s="25">
        <f ca="1">IF(AND(Inventory[[#This Row],[StockStatus]]="Sold", ISNUMBER(Inventory[[#This Row],[SaleDate]])), Inventory[[#This Row],[SaleDate]] - Inventory[[#This Row],[PurchaseDate]], TODAY() - Inventory[[#This Row],[PurchaseDate]])</f>
        <v>705</v>
      </c>
    </row>
    <row r="89" spans="1:16" x14ac:dyDescent="0.2">
      <c r="A89" s="21" t="s">
        <v>123</v>
      </c>
      <c r="B89" s="22" t="s">
        <v>113</v>
      </c>
      <c r="C89" s="22" t="s">
        <v>65</v>
      </c>
      <c r="D89" s="22" t="s">
        <v>158</v>
      </c>
      <c r="E89" s="22">
        <v>1.4</v>
      </c>
      <c r="F89" s="22">
        <v>50.781455399999999</v>
      </c>
      <c r="G89" s="22">
        <f>Inventory[[#This Row],[PurchasePrice/Gram]]*Inventory[[#This Row],[Weight(gm)]]</f>
        <v>71.09403755999999</v>
      </c>
      <c r="H89" s="23">
        <v>45167</v>
      </c>
      <c r="I89" s="22">
        <v>145</v>
      </c>
      <c r="J89" s="22">
        <v>130</v>
      </c>
      <c r="K89" s="40">
        <f>IF(OR(Inventory[[#This Row],[SellingPrice]]=0, Inventory[[#This Row],[SellingPrice]]=""), 0, Inventory[[#This Row],[SellingPrice]] - Inventory[[#This Row],[TotalCost]])</f>
        <v>58.90596244000001</v>
      </c>
      <c r="L89" s="24">
        <f>IF(Inventory[[#This Row],[SellingPrice]]&gt;0, Inventory[[#This Row],[GrossMargin]]/Inventory[[#This Row],[SellingPrice]], 0)</f>
        <v>0.45312278800000005</v>
      </c>
      <c r="M89" s="22" t="s">
        <v>124</v>
      </c>
      <c r="N89" s="23">
        <v>45240</v>
      </c>
      <c r="O89" s="22" t="str">
        <f>IF(AND(Inventory[[#This Row],[SellingPrice]]&lt;&gt;"", Inventory[[#This Row],[SellingPrice]]&gt;0), "Sold", "In Stock")</f>
        <v>Sold</v>
      </c>
      <c r="P89" s="25">
        <f ca="1">IF(AND(Inventory[[#This Row],[StockStatus]]="Sold", ISNUMBER(Inventory[[#This Row],[SaleDate]])), Inventory[[#This Row],[SaleDate]] - Inventory[[#This Row],[PurchaseDate]], TODAY() - Inventory[[#This Row],[PurchaseDate]])</f>
        <v>73</v>
      </c>
    </row>
    <row r="90" spans="1:16" x14ac:dyDescent="0.2">
      <c r="A90" s="21" t="s">
        <v>125</v>
      </c>
      <c r="B90" s="22" t="s">
        <v>113</v>
      </c>
      <c r="C90" s="22" t="s">
        <v>65</v>
      </c>
      <c r="D90" s="22" t="s">
        <v>158</v>
      </c>
      <c r="E90" s="22">
        <v>1.4</v>
      </c>
      <c r="F90" s="22">
        <v>50.781455399999999</v>
      </c>
      <c r="G90" s="22">
        <f>Inventory[[#This Row],[PurchasePrice/Gram]]*Inventory[[#This Row],[Weight(gm)]]</f>
        <v>71.09403755999999</v>
      </c>
      <c r="H90" s="23">
        <v>45167</v>
      </c>
      <c r="I90" s="22">
        <v>145</v>
      </c>
      <c r="J90" s="22">
        <v>125</v>
      </c>
      <c r="K90" s="40">
        <f>IF(OR(Inventory[[#This Row],[SellingPrice]]=0, Inventory[[#This Row],[SellingPrice]]=""), 0, Inventory[[#This Row],[SellingPrice]] - Inventory[[#This Row],[TotalCost]])</f>
        <v>53.90596244000001</v>
      </c>
      <c r="L90" s="24">
        <f>IF(Inventory[[#This Row],[SellingPrice]]&gt;0, Inventory[[#This Row],[GrossMargin]]/Inventory[[#This Row],[SellingPrice]], 0)</f>
        <v>0.43124769952000008</v>
      </c>
      <c r="M90" s="22" t="s">
        <v>126</v>
      </c>
      <c r="N90" s="23">
        <v>45228</v>
      </c>
      <c r="O90" s="22" t="str">
        <f>IF(AND(Inventory[[#This Row],[SellingPrice]]&lt;&gt;"", Inventory[[#This Row],[SellingPrice]]&gt;0), "Sold", "In Stock")</f>
        <v>Sold</v>
      </c>
      <c r="P90" s="25">
        <f ca="1">IF(AND(Inventory[[#This Row],[StockStatus]]="Sold", ISNUMBER(Inventory[[#This Row],[SaleDate]])), Inventory[[#This Row],[SaleDate]] - Inventory[[#This Row],[PurchaseDate]], TODAY() - Inventory[[#This Row],[PurchaseDate]])</f>
        <v>61</v>
      </c>
    </row>
    <row r="91" spans="1:16" x14ac:dyDescent="0.2">
      <c r="A91" s="21" t="s">
        <v>128</v>
      </c>
      <c r="B91" s="22" t="s">
        <v>127</v>
      </c>
      <c r="C91" s="22" t="s">
        <v>65</v>
      </c>
      <c r="D91" s="22" t="s">
        <v>160</v>
      </c>
      <c r="E91" s="22">
        <v>9.1999999999999993</v>
      </c>
      <c r="F91" s="22">
        <v>50.781455399999999</v>
      </c>
      <c r="G91" s="22">
        <f>Inventory[[#This Row],[PurchasePrice/Gram]]*Inventory[[#This Row],[Weight(gm)]]</f>
        <v>467.18938967999998</v>
      </c>
      <c r="H91" s="23">
        <v>45167</v>
      </c>
      <c r="I91" s="22">
        <v>775</v>
      </c>
      <c r="J91" s="22">
        <v>0</v>
      </c>
      <c r="K91" s="40">
        <f>IF(OR(Inventory[[#This Row],[SellingPrice]]=0, Inventory[[#This Row],[SellingPrice]]=""), 0, Inventory[[#This Row],[SellingPrice]] - Inventory[[#This Row],[TotalCost]])</f>
        <v>0</v>
      </c>
      <c r="L91" s="24">
        <f>IF(Inventory[[#This Row],[SellingPrice]]&gt;0, Inventory[[#This Row],[GrossMargin]]/Inventory[[#This Row],[SellingPrice]], 0)</f>
        <v>0</v>
      </c>
      <c r="M91" s="22"/>
      <c r="N91" s="23"/>
      <c r="O91" s="22" t="str">
        <f>IF(AND(Inventory[[#This Row],[SellingPrice]]&lt;&gt;"", Inventory[[#This Row],[SellingPrice]]&gt;0), "Sold", "In Stock")</f>
        <v>In Stock</v>
      </c>
      <c r="P91" s="25">
        <f ca="1">IF(AND(Inventory[[#This Row],[StockStatus]]="Sold", ISNUMBER(Inventory[[#This Row],[SaleDate]])), Inventory[[#This Row],[SaleDate]] - Inventory[[#This Row],[PurchaseDate]], TODAY() - Inventory[[#This Row],[PurchaseDate]])</f>
        <v>705</v>
      </c>
    </row>
    <row r="92" spans="1:16" x14ac:dyDescent="0.2">
      <c r="A92" s="21" t="s">
        <v>129</v>
      </c>
      <c r="B92" s="22" t="s">
        <v>127</v>
      </c>
      <c r="C92" s="22" t="s">
        <v>65</v>
      </c>
      <c r="D92" s="22" t="s">
        <v>160</v>
      </c>
      <c r="E92" s="22">
        <v>6.4</v>
      </c>
      <c r="F92" s="22">
        <v>50.781455399999999</v>
      </c>
      <c r="G92" s="22">
        <f>Inventory[[#This Row],[PurchasePrice/Gram]]*Inventory[[#This Row],[Weight(gm)]]</f>
        <v>325.00131456000003</v>
      </c>
      <c r="H92" s="23">
        <v>45167</v>
      </c>
      <c r="I92" s="22">
        <v>575</v>
      </c>
      <c r="J92" s="22">
        <v>0</v>
      </c>
      <c r="K92" s="40">
        <f>IF(OR(Inventory[[#This Row],[SellingPrice]]=0, Inventory[[#This Row],[SellingPrice]]=""), 0, Inventory[[#This Row],[SellingPrice]] - Inventory[[#This Row],[TotalCost]])</f>
        <v>0</v>
      </c>
      <c r="L92" s="24">
        <f>IF(Inventory[[#This Row],[SellingPrice]]&gt;0, Inventory[[#This Row],[GrossMargin]]/Inventory[[#This Row],[SellingPrice]], 0)</f>
        <v>0</v>
      </c>
      <c r="M92" s="22"/>
      <c r="N92" s="23"/>
      <c r="O92" s="22" t="str">
        <f>IF(AND(Inventory[[#This Row],[SellingPrice]]&lt;&gt;"", Inventory[[#This Row],[SellingPrice]]&gt;0), "Sold", "In Stock")</f>
        <v>In Stock</v>
      </c>
      <c r="P92" s="25">
        <f ca="1">IF(AND(Inventory[[#This Row],[StockStatus]]="Sold", ISNUMBER(Inventory[[#This Row],[SaleDate]])), Inventory[[#This Row],[SaleDate]] - Inventory[[#This Row],[PurchaseDate]], TODAY() - Inventory[[#This Row],[PurchaseDate]])</f>
        <v>705</v>
      </c>
    </row>
    <row r="93" spans="1:16" x14ac:dyDescent="0.2">
      <c r="A93" s="21" t="s">
        <v>130</v>
      </c>
      <c r="B93" s="22" t="s">
        <v>115</v>
      </c>
      <c r="C93" s="22" t="s">
        <v>65</v>
      </c>
      <c r="D93" s="22" t="s">
        <v>160</v>
      </c>
      <c r="E93" s="22">
        <v>5</v>
      </c>
      <c r="F93" s="22">
        <v>50.781455399999999</v>
      </c>
      <c r="G93" s="22">
        <f>Inventory[[#This Row],[PurchasePrice/Gram]]*Inventory[[#This Row],[Weight(gm)]]</f>
        <v>253.90727699999999</v>
      </c>
      <c r="H93" s="23">
        <v>45167</v>
      </c>
      <c r="I93" s="22">
        <v>460</v>
      </c>
      <c r="J93" s="22">
        <v>0</v>
      </c>
      <c r="K93" s="40">
        <f>IF(OR(Inventory[[#This Row],[SellingPrice]]=0, Inventory[[#This Row],[SellingPrice]]=""), 0, Inventory[[#This Row],[SellingPrice]] - Inventory[[#This Row],[TotalCost]])</f>
        <v>0</v>
      </c>
      <c r="L93" s="24">
        <f>IF(Inventory[[#This Row],[SellingPrice]]&gt;0, Inventory[[#This Row],[GrossMargin]]/Inventory[[#This Row],[SellingPrice]], 0)</f>
        <v>0</v>
      </c>
      <c r="M93" s="22"/>
      <c r="N93" s="23"/>
      <c r="O93" s="22" t="str">
        <f>IF(AND(Inventory[[#This Row],[SellingPrice]]&lt;&gt;"", Inventory[[#This Row],[SellingPrice]]&gt;0), "Sold", "In Stock")</f>
        <v>In Stock</v>
      </c>
      <c r="P93" s="25">
        <f ca="1">IF(AND(Inventory[[#This Row],[StockStatus]]="Sold", ISNUMBER(Inventory[[#This Row],[SaleDate]])), Inventory[[#This Row],[SaleDate]] - Inventory[[#This Row],[PurchaseDate]], TODAY() - Inventory[[#This Row],[PurchaseDate]])</f>
        <v>705</v>
      </c>
    </row>
    <row r="94" spans="1:16" x14ac:dyDescent="0.2">
      <c r="A94" s="21" t="s">
        <v>131</v>
      </c>
      <c r="B94" s="22" t="s">
        <v>115</v>
      </c>
      <c r="C94" s="22" t="s">
        <v>65</v>
      </c>
      <c r="D94" s="22" t="s">
        <v>160</v>
      </c>
      <c r="E94" s="22">
        <v>6.8</v>
      </c>
      <c r="F94" s="22">
        <v>50.781455399999999</v>
      </c>
      <c r="G94" s="22">
        <f>Inventory[[#This Row],[PurchasePrice/Gram]]*Inventory[[#This Row],[Weight(gm)]]</f>
        <v>345.31389672</v>
      </c>
      <c r="H94" s="23">
        <v>45167</v>
      </c>
      <c r="I94" s="22">
        <v>535</v>
      </c>
      <c r="J94" s="22">
        <v>0</v>
      </c>
      <c r="K94" s="40">
        <f>IF(OR(Inventory[[#This Row],[SellingPrice]]=0, Inventory[[#This Row],[SellingPrice]]=""), 0, Inventory[[#This Row],[SellingPrice]] - Inventory[[#This Row],[TotalCost]])</f>
        <v>0</v>
      </c>
      <c r="L94" s="24">
        <f>IF(Inventory[[#This Row],[SellingPrice]]&gt;0, Inventory[[#This Row],[GrossMargin]]/Inventory[[#This Row],[SellingPrice]], 0)</f>
        <v>0</v>
      </c>
      <c r="M94" s="22"/>
      <c r="N94" s="23"/>
      <c r="O94" s="22" t="str">
        <f>IF(AND(Inventory[[#This Row],[SellingPrice]]&lt;&gt;"", Inventory[[#This Row],[SellingPrice]]&gt;0), "Sold", "In Stock")</f>
        <v>In Stock</v>
      </c>
      <c r="P94" s="25">
        <f ca="1">IF(AND(Inventory[[#This Row],[StockStatus]]="Sold", ISNUMBER(Inventory[[#This Row],[SaleDate]])), Inventory[[#This Row],[SaleDate]] - Inventory[[#This Row],[PurchaseDate]], TODAY() - Inventory[[#This Row],[PurchaseDate]])</f>
        <v>705</v>
      </c>
    </row>
    <row r="95" spans="1:16" x14ac:dyDescent="0.2">
      <c r="A95" s="21" t="s">
        <v>132</v>
      </c>
      <c r="B95" s="22" t="s">
        <v>113</v>
      </c>
      <c r="C95" s="22" t="s">
        <v>65</v>
      </c>
      <c r="D95" s="22" t="s">
        <v>158</v>
      </c>
      <c r="E95" s="22">
        <v>6.7</v>
      </c>
      <c r="F95" s="22">
        <v>50.781455399999999</v>
      </c>
      <c r="G95" s="22">
        <f>Inventory[[#This Row],[PurchasePrice/Gram]]*Inventory[[#This Row],[Weight(gm)]]</f>
        <v>340.23575118000002</v>
      </c>
      <c r="H95" s="23">
        <v>45167</v>
      </c>
      <c r="I95" s="22">
        <v>535</v>
      </c>
      <c r="J95" s="22">
        <v>0</v>
      </c>
      <c r="K95" s="40">
        <f>IF(OR(Inventory[[#This Row],[SellingPrice]]=0, Inventory[[#This Row],[SellingPrice]]=""), 0, Inventory[[#This Row],[SellingPrice]] - Inventory[[#This Row],[TotalCost]])</f>
        <v>0</v>
      </c>
      <c r="L95" s="24">
        <f>IF(Inventory[[#This Row],[SellingPrice]]&gt;0, Inventory[[#This Row],[GrossMargin]]/Inventory[[#This Row],[SellingPrice]], 0)</f>
        <v>0</v>
      </c>
      <c r="M95" s="22"/>
      <c r="N95" s="23"/>
      <c r="O95" s="22" t="str">
        <f>IF(AND(Inventory[[#This Row],[SellingPrice]]&lt;&gt;"", Inventory[[#This Row],[SellingPrice]]&gt;0), "Sold", "In Stock")</f>
        <v>In Stock</v>
      </c>
      <c r="P95" s="25">
        <f ca="1">IF(AND(Inventory[[#This Row],[StockStatus]]="Sold", ISNUMBER(Inventory[[#This Row],[SaleDate]])), Inventory[[#This Row],[SaleDate]] - Inventory[[#This Row],[PurchaseDate]], TODAY() - Inventory[[#This Row],[PurchaseDate]])</f>
        <v>705</v>
      </c>
    </row>
    <row r="96" spans="1:16" x14ac:dyDescent="0.2">
      <c r="A96" s="21" t="s">
        <v>133</v>
      </c>
      <c r="B96" s="22" t="s">
        <v>113</v>
      </c>
      <c r="C96" s="22" t="s">
        <v>65</v>
      </c>
      <c r="D96" s="22" t="s">
        <v>158</v>
      </c>
      <c r="E96" s="22">
        <v>4.9000000000000004</v>
      </c>
      <c r="F96" s="22">
        <v>50.781455399999999</v>
      </c>
      <c r="G96" s="22">
        <f>Inventory[[#This Row],[PurchasePrice/Gram]]*Inventory[[#This Row],[Weight(gm)]]</f>
        <v>248.82913146000001</v>
      </c>
      <c r="H96" s="23">
        <v>45167</v>
      </c>
      <c r="I96" s="22">
        <v>460</v>
      </c>
      <c r="J96" s="22">
        <v>0</v>
      </c>
      <c r="K96" s="40">
        <f>IF(OR(Inventory[[#This Row],[SellingPrice]]=0, Inventory[[#This Row],[SellingPrice]]=""), 0, Inventory[[#This Row],[SellingPrice]] - Inventory[[#This Row],[TotalCost]])</f>
        <v>0</v>
      </c>
      <c r="L96" s="24">
        <f>IF(Inventory[[#This Row],[SellingPrice]]&gt;0, Inventory[[#This Row],[GrossMargin]]/Inventory[[#This Row],[SellingPrice]], 0)</f>
        <v>0</v>
      </c>
      <c r="M96" s="22"/>
      <c r="N96" s="23"/>
      <c r="O96" s="22" t="str">
        <f>IF(AND(Inventory[[#This Row],[SellingPrice]]&lt;&gt;"", Inventory[[#This Row],[SellingPrice]]&gt;0), "Sold", "In Stock")</f>
        <v>In Stock</v>
      </c>
      <c r="P96" s="25">
        <f ca="1">IF(AND(Inventory[[#This Row],[StockStatus]]="Sold", ISNUMBER(Inventory[[#This Row],[SaleDate]])), Inventory[[#This Row],[SaleDate]] - Inventory[[#This Row],[PurchaseDate]], TODAY() - Inventory[[#This Row],[PurchaseDate]])</f>
        <v>705</v>
      </c>
    </row>
    <row r="97" spans="1:16" x14ac:dyDescent="0.2">
      <c r="A97" s="21" t="s">
        <v>135</v>
      </c>
      <c r="B97" s="22" t="s">
        <v>134</v>
      </c>
      <c r="C97" s="22" t="s">
        <v>1</v>
      </c>
      <c r="D97" s="22" t="s">
        <v>158</v>
      </c>
      <c r="E97" s="22">
        <v>2</v>
      </c>
      <c r="F97" s="22">
        <v>50.781455399999999</v>
      </c>
      <c r="G97" s="22">
        <f>Inventory[[#This Row],[PurchasePrice/Gram]]*Inventory[[#This Row],[Weight(gm)]]</f>
        <v>101.5629108</v>
      </c>
      <c r="H97" s="23">
        <v>45167</v>
      </c>
      <c r="I97" s="22">
        <v>210</v>
      </c>
      <c r="J97" s="22">
        <v>0</v>
      </c>
      <c r="K97" s="40">
        <f>IF(OR(Inventory[[#This Row],[SellingPrice]]=0, Inventory[[#This Row],[SellingPrice]]=""), 0, Inventory[[#This Row],[SellingPrice]] - Inventory[[#This Row],[TotalCost]])</f>
        <v>0</v>
      </c>
      <c r="L97" s="24">
        <f>IF(Inventory[[#This Row],[SellingPrice]]&gt;0, Inventory[[#This Row],[GrossMargin]]/Inventory[[#This Row],[SellingPrice]], 0)</f>
        <v>0</v>
      </c>
      <c r="M97" s="22"/>
      <c r="N97" s="23"/>
      <c r="O97" s="22" t="str">
        <f>IF(AND(Inventory[[#This Row],[SellingPrice]]&lt;&gt;"", Inventory[[#This Row],[SellingPrice]]&gt;0), "Sold", "In Stock")</f>
        <v>In Stock</v>
      </c>
      <c r="P97" s="25">
        <f ca="1">IF(AND(Inventory[[#This Row],[StockStatus]]="Sold", ISNUMBER(Inventory[[#This Row],[SaleDate]])), Inventory[[#This Row],[SaleDate]] - Inventory[[#This Row],[PurchaseDate]], TODAY() - Inventory[[#This Row],[PurchaseDate]])</f>
        <v>705</v>
      </c>
    </row>
    <row r="98" spans="1:16" x14ac:dyDescent="0.2">
      <c r="A98" s="21" t="s">
        <v>137</v>
      </c>
      <c r="B98" s="22" t="s">
        <v>136</v>
      </c>
      <c r="C98" s="22" t="s">
        <v>1</v>
      </c>
      <c r="D98" s="22" t="s">
        <v>160</v>
      </c>
      <c r="E98" s="22">
        <v>1</v>
      </c>
      <c r="F98" s="22">
        <v>50.781455399999999</v>
      </c>
      <c r="G98" s="22">
        <f>Inventory[[#This Row],[PurchasePrice/Gram]]*Inventory[[#This Row],[Weight(gm)]]</f>
        <v>50.781455399999999</v>
      </c>
      <c r="H98" s="23">
        <v>45167</v>
      </c>
      <c r="I98" s="22">
        <v>140</v>
      </c>
      <c r="J98" s="22">
        <v>0</v>
      </c>
      <c r="K98" s="40">
        <f>IF(OR(Inventory[[#This Row],[SellingPrice]]=0, Inventory[[#This Row],[SellingPrice]]=""), 0, Inventory[[#This Row],[SellingPrice]] - Inventory[[#This Row],[TotalCost]])</f>
        <v>0</v>
      </c>
      <c r="L98" s="24">
        <f>IF(Inventory[[#This Row],[SellingPrice]]&gt;0, Inventory[[#This Row],[GrossMargin]]/Inventory[[#This Row],[SellingPrice]], 0)</f>
        <v>0</v>
      </c>
      <c r="M98" s="22"/>
      <c r="N98" s="23"/>
      <c r="O98" s="22" t="str">
        <f>IF(AND(Inventory[[#This Row],[SellingPrice]]&lt;&gt;"", Inventory[[#This Row],[SellingPrice]]&gt;0), "Sold", "In Stock")</f>
        <v>In Stock</v>
      </c>
      <c r="P98" s="25">
        <f ca="1">IF(AND(Inventory[[#This Row],[StockStatus]]="Sold", ISNUMBER(Inventory[[#This Row],[SaleDate]])), Inventory[[#This Row],[SaleDate]] - Inventory[[#This Row],[PurchaseDate]], TODAY() - Inventory[[#This Row],[PurchaseDate]])</f>
        <v>705</v>
      </c>
    </row>
    <row r="99" spans="1:16" x14ac:dyDescent="0.2">
      <c r="A99" s="21" t="s">
        <v>139</v>
      </c>
      <c r="B99" s="22" t="s">
        <v>138</v>
      </c>
      <c r="C99" s="22" t="s">
        <v>1</v>
      </c>
      <c r="D99" s="22" t="s">
        <v>158</v>
      </c>
      <c r="E99" s="22">
        <v>1.6</v>
      </c>
      <c r="F99" s="22">
        <v>50.781455399999999</v>
      </c>
      <c r="G99" s="22">
        <f>Inventory[[#This Row],[PurchasePrice/Gram]]*Inventory[[#This Row],[Weight(gm)]]</f>
        <v>81.250328640000006</v>
      </c>
      <c r="H99" s="23">
        <v>45167</v>
      </c>
      <c r="I99" s="22">
        <v>175</v>
      </c>
      <c r="J99" s="22">
        <v>148.75</v>
      </c>
      <c r="K99" s="40">
        <f>IF(OR(Inventory[[#This Row],[SellingPrice]]=0, Inventory[[#This Row],[SellingPrice]]=""), 0, Inventory[[#This Row],[SellingPrice]] - Inventory[[#This Row],[TotalCost]])</f>
        <v>67.499671359999994</v>
      </c>
      <c r="L99" s="24">
        <f>IF(Inventory[[#This Row],[SellingPrice]]&gt;0, Inventory[[#This Row],[GrossMargin]]/Inventory[[#This Row],[SellingPrice]], 0)</f>
        <v>0.45377930326050414</v>
      </c>
      <c r="M99" s="22" t="s">
        <v>173</v>
      </c>
      <c r="N99" s="23">
        <v>45263</v>
      </c>
      <c r="O99" s="22" t="str">
        <f>IF(AND(Inventory[[#This Row],[SellingPrice]]&lt;&gt;"", Inventory[[#This Row],[SellingPrice]]&gt;0), "Sold", "In Stock")</f>
        <v>Sold</v>
      </c>
      <c r="P99" s="25">
        <f ca="1">IF(AND(Inventory[[#This Row],[StockStatus]]="Sold", ISNUMBER(Inventory[[#This Row],[SaleDate]])), Inventory[[#This Row],[SaleDate]] - Inventory[[#This Row],[PurchaseDate]], TODAY() - Inventory[[#This Row],[PurchaseDate]])</f>
        <v>96</v>
      </c>
    </row>
    <row r="100" spans="1:16" x14ac:dyDescent="0.2">
      <c r="A100" s="21" t="s">
        <v>141</v>
      </c>
      <c r="B100" s="22" t="s">
        <v>140</v>
      </c>
      <c r="C100" s="22" t="s">
        <v>76</v>
      </c>
      <c r="D100" s="22" t="s">
        <v>160</v>
      </c>
      <c r="E100" s="22">
        <v>1.6</v>
      </c>
      <c r="F100" s="22">
        <v>50.781455399999999</v>
      </c>
      <c r="G100" s="22">
        <f>Inventory[[#This Row],[PurchasePrice/Gram]]*Inventory[[#This Row],[Weight(gm)]]</f>
        <v>81.250328640000006</v>
      </c>
      <c r="H100" s="23">
        <v>45167</v>
      </c>
      <c r="I100" s="22">
        <v>160</v>
      </c>
      <c r="J100" s="22">
        <v>0</v>
      </c>
      <c r="K100" s="40">
        <f>IF(OR(Inventory[[#This Row],[SellingPrice]]=0, Inventory[[#This Row],[SellingPrice]]=""), 0, Inventory[[#This Row],[SellingPrice]] - Inventory[[#This Row],[TotalCost]])</f>
        <v>0</v>
      </c>
      <c r="L100" s="24">
        <f>IF(Inventory[[#This Row],[SellingPrice]]&gt;0, Inventory[[#This Row],[GrossMargin]]/Inventory[[#This Row],[SellingPrice]], 0)</f>
        <v>0</v>
      </c>
      <c r="M100" s="22"/>
      <c r="N100" s="23"/>
      <c r="O100" s="22" t="str">
        <f>IF(AND(Inventory[[#This Row],[SellingPrice]]&lt;&gt;"", Inventory[[#This Row],[SellingPrice]]&gt;0), "Sold", "In Stock")</f>
        <v>In Stock</v>
      </c>
      <c r="P100" s="25">
        <f ca="1">IF(AND(Inventory[[#This Row],[StockStatus]]="Sold", ISNUMBER(Inventory[[#This Row],[SaleDate]])), Inventory[[#This Row],[SaleDate]] - Inventory[[#This Row],[PurchaseDate]], TODAY() - Inventory[[#This Row],[PurchaseDate]])</f>
        <v>705</v>
      </c>
    </row>
    <row r="101" spans="1:16" x14ac:dyDescent="0.2">
      <c r="A101" s="21" t="s">
        <v>143</v>
      </c>
      <c r="B101" s="22" t="s">
        <v>142</v>
      </c>
      <c r="C101" s="22" t="s">
        <v>76</v>
      </c>
      <c r="D101" s="22" t="s">
        <v>158</v>
      </c>
      <c r="E101" s="22">
        <v>1.5</v>
      </c>
      <c r="F101" s="22">
        <v>50.781455399999999</v>
      </c>
      <c r="G101" s="22">
        <f>Inventory[[#This Row],[PurchasePrice/Gram]]*Inventory[[#This Row],[Weight(gm)]]</f>
        <v>76.172183099999998</v>
      </c>
      <c r="H101" s="23">
        <v>45167</v>
      </c>
      <c r="I101" s="22">
        <v>150</v>
      </c>
      <c r="J101" s="22">
        <v>135</v>
      </c>
      <c r="K101" s="40">
        <f>IF(OR(Inventory[[#This Row],[SellingPrice]]=0, Inventory[[#This Row],[SellingPrice]]=""), 0, Inventory[[#This Row],[SellingPrice]] - Inventory[[#This Row],[TotalCost]])</f>
        <v>58.827816900000002</v>
      </c>
      <c r="L101" s="24">
        <f>IF(Inventory[[#This Row],[SellingPrice]]&gt;0, Inventory[[#This Row],[GrossMargin]]/Inventory[[#This Row],[SellingPrice]], 0)</f>
        <v>0.43576160666666669</v>
      </c>
      <c r="M101" s="22" t="s">
        <v>175</v>
      </c>
      <c r="N101" s="23">
        <v>45743</v>
      </c>
      <c r="O101" s="22" t="str">
        <f>IF(AND(Inventory[[#This Row],[SellingPrice]]&lt;&gt;"", Inventory[[#This Row],[SellingPrice]]&gt;0), "Sold", "In Stock")</f>
        <v>Sold</v>
      </c>
      <c r="P101" s="25">
        <f ca="1">IF(AND(Inventory[[#This Row],[StockStatus]]="Sold", ISNUMBER(Inventory[[#This Row],[SaleDate]])), Inventory[[#This Row],[SaleDate]] - Inventory[[#This Row],[PurchaseDate]], TODAY() - Inventory[[#This Row],[PurchaseDate]])</f>
        <v>576</v>
      </c>
    </row>
    <row r="102" spans="1:16" x14ac:dyDescent="0.2">
      <c r="A102" s="21" t="s">
        <v>144</v>
      </c>
      <c r="B102" s="22" t="s">
        <v>142</v>
      </c>
      <c r="C102" s="22" t="s">
        <v>76</v>
      </c>
      <c r="D102" s="22" t="s">
        <v>158</v>
      </c>
      <c r="E102" s="22">
        <v>2.1</v>
      </c>
      <c r="F102" s="22">
        <v>50.781455399999999</v>
      </c>
      <c r="G102" s="22">
        <f>Inventory[[#This Row],[PurchasePrice/Gram]]*Inventory[[#This Row],[Weight(gm)]]</f>
        <v>106.64105634000001</v>
      </c>
      <c r="H102" s="23">
        <v>45167</v>
      </c>
      <c r="I102" s="22">
        <v>210</v>
      </c>
      <c r="J102" s="22">
        <v>0</v>
      </c>
      <c r="K102" s="40">
        <f>IF(OR(Inventory[[#This Row],[SellingPrice]]=0, Inventory[[#This Row],[SellingPrice]]=""), 0, Inventory[[#This Row],[SellingPrice]] - Inventory[[#This Row],[TotalCost]])</f>
        <v>0</v>
      </c>
      <c r="L102" s="24">
        <f>IF(Inventory[[#This Row],[SellingPrice]]&gt;0, Inventory[[#This Row],[GrossMargin]]/Inventory[[#This Row],[SellingPrice]], 0)</f>
        <v>0</v>
      </c>
      <c r="M102" s="22"/>
      <c r="N102" s="23"/>
      <c r="O102" s="22" t="str">
        <f>IF(AND(Inventory[[#This Row],[SellingPrice]]&lt;&gt;"", Inventory[[#This Row],[SellingPrice]]&gt;0), "Sold", "In Stock")</f>
        <v>In Stock</v>
      </c>
      <c r="P102" s="25">
        <f ca="1">IF(AND(Inventory[[#This Row],[StockStatus]]="Sold", ISNUMBER(Inventory[[#This Row],[SaleDate]])), Inventory[[#This Row],[SaleDate]] - Inventory[[#This Row],[PurchaseDate]], TODAY() - Inventory[[#This Row],[PurchaseDate]])</f>
        <v>705</v>
      </c>
    </row>
    <row r="103" spans="1:16" x14ac:dyDescent="0.2">
      <c r="A103" s="21" t="s">
        <v>145</v>
      </c>
      <c r="B103" s="22" t="s">
        <v>140</v>
      </c>
      <c r="C103" s="22" t="s">
        <v>76</v>
      </c>
      <c r="D103" s="22" t="s">
        <v>160</v>
      </c>
      <c r="E103" s="22">
        <v>1.8</v>
      </c>
      <c r="F103" s="22">
        <v>50.781455399999999</v>
      </c>
      <c r="G103" s="22">
        <f>Inventory[[#This Row],[PurchasePrice/Gram]]*Inventory[[#This Row],[Weight(gm)]]</f>
        <v>91.406619719999995</v>
      </c>
      <c r="H103" s="23">
        <v>45167</v>
      </c>
      <c r="I103" s="22">
        <v>180</v>
      </c>
      <c r="J103" s="22">
        <v>0</v>
      </c>
      <c r="K103" s="40">
        <f>IF(OR(Inventory[[#This Row],[SellingPrice]]=0, Inventory[[#This Row],[SellingPrice]]=""), 0, Inventory[[#This Row],[SellingPrice]] - Inventory[[#This Row],[TotalCost]])</f>
        <v>0</v>
      </c>
      <c r="L103" s="24">
        <f>IF(Inventory[[#This Row],[SellingPrice]]&gt;0, Inventory[[#This Row],[GrossMargin]]/Inventory[[#This Row],[SellingPrice]], 0)</f>
        <v>0</v>
      </c>
      <c r="M103" s="22"/>
      <c r="N103" s="23"/>
      <c r="O103" s="22" t="str">
        <f>IF(AND(Inventory[[#This Row],[SellingPrice]]&lt;&gt;"", Inventory[[#This Row],[SellingPrice]]&gt;0), "Sold", "In Stock")</f>
        <v>In Stock</v>
      </c>
      <c r="P103" s="25">
        <f ca="1">IF(AND(Inventory[[#This Row],[StockStatus]]="Sold", ISNUMBER(Inventory[[#This Row],[SaleDate]])), Inventory[[#This Row],[SaleDate]] - Inventory[[#This Row],[PurchaseDate]], TODAY() - Inventory[[#This Row],[PurchaseDate]])</f>
        <v>705</v>
      </c>
    </row>
    <row r="104" spans="1:16" x14ac:dyDescent="0.2">
      <c r="A104" s="21" t="s">
        <v>146</v>
      </c>
      <c r="B104" s="22" t="s">
        <v>142</v>
      </c>
      <c r="C104" s="22" t="s">
        <v>76</v>
      </c>
      <c r="D104" s="22" t="s">
        <v>158</v>
      </c>
      <c r="E104" s="22">
        <v>1.1000000000000001</v>
      </c>
      <c r="F104" s="22">
        <v>50.781455399999999</v>
      </c>
      <c r="G104" s="22">
        <f>Inventory[[#This Row],[PurchasePrice/Gram]]*Inventory[[#This Row],[Weight(gm)]]</f>
        <v>55.85960094</v>
      </c>
      <c r="H104" s="23">
        <v>45167</v>
      </c>
      <c r="I104" s="22">
        <v>110</v>
      </c>
      <c r="J104" s="22">
        <v>56</v>
      </c>
      <c r="K104" s="40">
        <f>IF(OR(Inventory[[#This Row],[SellingPrice]]=0, Inventory[[#This Row],[SellingPrice]]=""), 0, Inventory[[#This Row],[SellingPrice]] - Inventory[[#This Row],[TotalCost]])</f>
        <v>0.14039906000000002</v>
      </c>
      <c r="L104" s="24">
        <f>IF(Inventory[[#This Row],[SellingPrice]]&gt;0, Inventory[[#This Row],[GrossMargin]]/Inventory[[#This Row],[SellingPrice]], 0)</f>
        <v>2.507126071428572E-3</v>
      </c>
      <c r="M104" s="22" t="s">
        <v>167</v>
      </c>
      <c r="N104" s="23">
        <v>45178</v>
      </c>
      <c r="O104" s="22" t="str">
        <f>IF(AND(Inventory[[#This Row],[SellingPrice]]&lt;&gt;"", Inventory[[#This Row],[SellingPrice]]&gt;0), "Sold", "In Stock")</f>
        <v>Sold</v>
      </c>
      <c r="P104" s="25">
        <f ca="1">IF(AND(Inventory[[#This Row],[StockStatus]]="Sold", ISNUMBER(Inventory[[#This Row],[SaleDate]])), Inventory[[#This Row],[SaleDate]] - Inventory[[#This Row],[PurchaseDate]], TODAY() - Inventory[[#This Row],[PurchaseDate]])</f>
        <v>11</v>
      </c>
    </row>
    <row r="105" spans="1:16" x14ac:dyDescent="0.2">
      <c r="A105" s="21" t="s">
        <v>147</v>
      </c>
      <c r="B105" s="22" t="s">
        <v>142</v>
      </c>
      <c r="C105" s="22" t="s">
        <v>76</v>
      </c>
      <c r="D105" s="22" t="s">
        <v>158</v>
      </c>
      <c r="E105" s="22">
        <v>0.8</v>
      </c>
      <c r="F105" s="22">
        <v>50.781455399999999</v>
      </c>
      <c r="G105" s="22">
        <f>Inventory[[#This Row],[PurchasePrice/Gram]]*Inventory[[#This Row],[Weight(gm)]]</f>
        <v>40.625164320000003</v>
      </c>
      <c r="H105" s="23">
        <v>45167</v>
      </c>
      <c r="I105" s="22">
        <v>80</v>
      </c>
      <c r="J105" s="22">
        <v>0</v>
      </c>
      <c r="K105" s="40">
        <f>IF(OR(Inventory[[#This Row],[SellingPrice]]=0, Inventory[[#This Row],[SellingPrice]]=""), 0, Inventory[[#This Row],[SellingPrice]] - Inventory[[#This Row],[TotalCost]])</f>
        <v>0</v>
      </c>
      <c r="L105" s="24">
        <f>IF(Inventory[[#This Row],[SellingPrice]]&gt;0, Inventory[[#This Row],[GrossMargin]]/Inventory[[#This Row],[SellingPrice]], 0)</f>
        <v>0</v>
      </c>
      <c r="M105" s="22"/>
      <c r="N105" s="23"/>
      <c r="O105" s="22" t="str">
        <f>IF(AND(Inventory[[#This Row],[SellingPrice]]&lt;&gt;"", Inventory[[#This Row],[SellingPrice]]&gt;0), "Sold", "In Stock")</f>
        <v>In Stock</v>
      </c>
      <c r="P105" s="25">
        <f ca="1">IF(AND(Inventory[[#This Row],[StockStatus]]="Sold", ISNUMBER(Inventory[[#This Row],[SaleDate]])), Inventory[[#This Row],[SaleDate]] - Inventory[[#This Row],[PurchaseDate]], TODAY() - Inventory[[#This Row],[PurchaseDate]])</f>
        <v>705</v>
      </c>
    </row>
    <row r="106" spans="1:16" x14ac:dyDescent="0.2">
      <c r="A106" s="21" t="s">
        <v>148</v>
      </c>
      <c r="B106" s="22" t="s">
        <v>142</v>
      </c>
      <c r="C106" s="22" t="s">
        <v>76</v>
      </c>
      <c r="D106" s="22" t="s">
        <v>158</v>
      </c>
      <c r="E106" s="22">
        <v>0.8</v>
      </c>
      <c r="F106" s="22">
        <v>50.781455399999999</v>
      </c>
      <c r="G106" s="22">
        <f>Inventory[[#This Row],[PurchasePrice/Gram]]*Inventory[[#This Row],[Weight(gm)]]</f>
        <v>40.625164320000003</v>
      </c>
      <c r="H106" s="23">
        <v>45167</v>
      </c>
      <c r="I106" s="22">
        <v>80</v>
      </c>
      <c r="J106" s="22">
        <v>80</v>
      </c>
      <c r="K106" s="40">
        <f>IF(OR(Inventory[[#This Row],[SellingPrice]]=0, Inventory[[#This Row],[SellingPrice]]=""), 0, Inventory[[#This Row],[SellingPrice]] - Inventory[[#This Row],[TotalCost]])</f>
        <v>39.374835679999997</v>
      </c>
      <c r="L106" s="24">
        <f>IF(Inventory[[#This Row],[SellingPrice]]&gt;0, Inventory[[#This Row],[GrossMargin]]/Inventory[[#This Row],[SellingPrice]], 0)</f>
        <v>0.49218544599999997</v>
      </c>
      <c r="M106" s="22" t="s">
        <v>170</v>
      </c>
      <c r="N106" s="23">
        <v>45236</v>
      </c>
      <c r="O106" s="22" t="str">
        <f>IF(AND(Inventory[[#This Row],[SellingPrice]]&lt;&gt;"", Inventory[[#This Row],[SellingPrice]]&gt;0), "Sold", "In Stock")</f>
        <v>Sold</v>
      </c>
      <c r="P106" s="25">
        <f ca="1">IF(AND(Inventory[[#This Row],[StockStatus]]="Sold", ISNUMBER(Inventory[[#This Row],[SaleDate]])), Inventory[[#This Row],[SaleDate]] - Inventory[[#This Row],[PurchaseDate]], TODAY() - Inventory[[#This Row],[PurchaseDate]])</f>
        <v>69</v>
      </c>
    </row>
    <row r="107" spans="1:16" x14ac:dyDescent="0.2">
      <c r="A107" s="21" t="s">
        <v>89</v>
      </c>
      <c r="B107" s="22" t="s">
        <v>24</v>
      </c>
      <c r="C107" s="22" t="s">
        <v>23</v>
      </c>
      <c r="D107" s="22" t="s">
        <v>158</v>
      </c>
      <c r="E107" s="22">
        <v>4.2</v>
      </c>
      <c r="F107" s="22">
        <v>50.781455399999999</v>
      </c>
      <c r="G107" s="22">
        <f>Inventory[[#This Row],[PurchasePrice/Gram]]*Inventory[[#This Row],[Weight(gm)]]</f>
        <v>213.28211268000001</v>
      </c>
      <c r="H107" s="23">
        <v>45167</v>
      </c>
      <c r="I107" s="22">
        <v>380</v>
      </c>
      <c r="J107" s="22">
        <v>0</v>
      </c>
      <c r="K107" s="40">
        <f>IF(OR(Inventory[[#This Row],[SellingPrice]]=0, Inventory[[#This Row],[SellingPrice]]=""), 0, Inventory[[#This Row],[SellingPrice]] - Inventory[[#This Row],[TotalCost]])</f>
        <v>0</v>
      </c>
      <c r="L107" s="24">
        <f>IF(Inventory[[#This Row],[SellingPrice]]&gt;0, Inventory[[#This Row],[GrossMargin]]/Inventory[[#This Row],[SellingPrice]], 0)</f>
        <v>0</v>
      </c>
      <c r="M107" s="22"/>
      <c r="N107" s="23"/>
      <c r="O107" s="22" t="str">
        <f>IF(AND(Inventory[[#This Row],[SellingPrice]]&lt;&gt;"", Inventory[[#This Row],[SellingPrice]]&gt;0), "Sold", "In Stock")</f>
        <v>In Stock</v>
      </c>
      <c r="P107" s="25">
        <f ca="1">IF(AND(Inventory[[#This Row],[StockStatus]]="Sold", ISNUMBER(Inventory[[#This Row],[SaleDate]])), Inventory[[#This Row],[SaleDate]] - Inventory[[#This Row],[PurchaseDate]], TODAY() - Inventory[[#This Row],[PurchaseDate]])</f>
        <v>705</v>
      </c>
    </row>
    <row r="108" spans="1:16" x14ac:dyDescent="0.2">
      <c r="A108" s="21" t="s">
        <v>151</v>
      </c>
      <c r="B108" s="22" t="s">
        <v>150</v>
      </c>
      <c r="C108" s="22" t="s">
        <v>149</v>
      </c>
      <c r="D108" s="22" t="s">
        <v>158</v>
      </c>
      <c r="E108" s="22">
        <v>2.2000000000000002</v>
      </c>
      <c r="F108" s="22">
        <v>50.781455399999999</v>
      </c>
      <c r="G108" s="22">
        <f>Inventory[[#This Row],[PurchasePrice/Gram]]*Inventory[[#This Row],[Weight(gm)]]</f>
        <v>111.71920188</v>
      </c>
      <c r="H108" s="23">
        <v>45167</v>
      </c>
      <c r="I108" s="22">
        <v>225</v>
      </c>
      <c r="J108" s="22">
        <v>0</v>
      </c>
      <c r="K108" s="40">
        <f>IF(OR(Inventory[[#This Row],[SellingPrice]]=0, Inventory[[#This Row],[SellingPrice]]=""), 0, Inventory[[#This Row],[SellingPrice]] - Inventory[[#This Row],[TotalCost]])</f>
        <v>0</v>
      </c>
      <c r="L108" s="24">
        <f>IF(Inventory[[#This Row],[SellingPrice]]&gt;0, Inventory[[#This Row],[GrossMargin]]/Inventory[[#This Row],[SellingPrice]], 0)</f>
        <v>0</v>
      </c>
      <c r="M108" s="22"/>
      <c r="N108" s="23"/>
      <c r="O108" s="22" t="str">
        <f>IF(AND(Inventory[[#This Row],[SellingPrice]]&lt;&gt;"", Inventory[[#This Row],[SellingPrice]]&gt;0), "Sold", "In Stock")</f>
        <v>In Stock</v>
      </c>
      <c r="P108" s="25">
        <f ca="1">IF(AND(Inventory[[#This Row],[StockStatus]]="Sold", ISNUMBER(Inventory[[#This Row],[SaleDate]])), Inventory[[#This Row],[SaleDate]] - Inventory[[#This Row],[PurchaseDate]], TODAY() - Inventory[[#This Row],[PurchaseDate]])</f>
        <v>705</v>
      </c>
    </row>
    <row r="109" spans="1:16" x14ac:dyDescent="0.2">
      <c r="A109" s="21" t="s">
        <v>152</v>
      </c>
      <c r="B109" s="22" t="s">
        <v>150</v>
      </c>
      <c r="C109" s="22" t="s">
        <v>149</v>
      </c>
      <c r="D109" s="22" t="s">
        <v>158</v>
      </c>
      <c r="E109" s="22">
        <v>2.2999999999999998</v>
      </c>
      <c r="F109" s="22">
        <v>50.781455399999999</v>
      </c>
      <c r="G109" s="22">
        <f>Inventory[[#This Row],[PurchasePrice/Gram]]*Inventory[[#This Row],[Weight(gm)]]</f>
        <v>116.79734741999999</v>
      </c>
      <c r="H109" s="23">
        <v>45167</v>
      </c>
      <c r="I109" s="22">
        <v>225</v>
      </c>
      <c r="J109" s="22">
        <v>0</v>
      </c>
      <c r="K109" s="40">
        <f>IF(OR(Inventory[[#This Row],[SellingPrice]]=0, Inventory[[#This Row],[SellingPrice]]=""), 0, Inventory[[#This Row],[SellingPrice]] - Inventory[[#This Row],[TotalCost]])</f>
        <v>0</v>
      </c>
      <c r="L109" s="24">
        <f>IF(Inventory[[#This Row],[SellingPrice]]&gt;0, Inventory[[#This Row],[GrossMargin]]/Inventory[[#This Row],[SellingPrice]], 0)</f>
        <v>0</v>
      </c>
      <c r="M109" s="22"/>
      <c r="N109" s="23"/>
      <c r="O109" s="22" t="str">
        <f>IF(AND(Inventory[[#This Row],[SellingPrice]]&lt;&gt;"", Inventory[[#This Row],[SellingPrice]]&gt;0), "Sold", "In Stock")</f>
        <v>In Stock</v>
      </c>
      <c r="P109" s="25">
        <f ca="1">IF(AND(Inventory[[#This Row],[StockStatus]]="Sold", ISNUMBER(Inventory[[#This Row],[SaleDate]])), Inventory[[#This Row],[SaleDate]] - Inventory[[#This Row],[PurchaseDate]], TODAY() - Inventory[[#This Row],[PurchaseDate]])</f>
        <v>705</v>
      </c>
    </row>
    <row r="110" spans="1:16" x14ac:dyDescent="0.2">
      <c r="A110" s="21" t="s">
        <v>153</v>
      </c>
      <c r="B110" s="22" t="s">
        <v>150</v>
      </c>
      <c r="C110" s="22" t="s">
        <v>149</v>
      </c>
      <c r="D110" s="22" t="s">
        <v>158</v>
      </c>
      <c r="E110" s="22">
        <v>1.1000000000000001</v>
      </c>
      <c r="F110" s="22">
        <v>50.781455399999999</v>
      </c>
      <c r="G110" s="22">
        <f>Inventory[[#This Row],[PurchasePrice/Gram]]*Inventory[[#This Row],[Weight(gm)]]</f>
        <v>55.85960094</v>
      </c>
      <c r="H110" s="23">
        <v>45167</v>
      </c>
      <c r="I110" s="22">
        <v>110</v>
      </c>
      <c r="J110" s="22">
        <v>110</v>
      </c>
      <c r="K110" s="40">
        <f>IF(OR(Inventory[[#This Row],[SellingPrice]]=0, Inventory[[#This Row],[SellingPrice]]=""), 0, Inventory[[#This Row],[SellingPrice]] - Inventory[[#This Row],[TotalCost]])</f>
        <v>54.14039906</v>
      </c>
      <c r="L110" s="24">
        <f>IF(Inventory[[#This Row],[SellingPrice]]&gt;0, Inventory[[#This Row],[GrossMargin]]/Inventory[[#This Row],[SellingPrice]], 0)</f>
        <v>0.49218544600000003</v>
      </c>
      <c r="M110" s="22" t="s">
        <v>176</v>
      </c>
      <c r="N110" s="23">
        <v>45589</v>
      </c>
      <c r="O110" s="22" t="str">
        <f>IF(AND(Inventory[[#This Row],[SellingPrice]]&lt;&gt;"", Inventory[[#This Row],[SellingPrice]]&gt;0), "Sold", "In Stock")</f>
        <v>Sold</v>
      </c>
      <c r="P110" s="25">
        <f ca="1">IF(AND(Inventory[[#This Row],[StockStatus]]="Sold", ISNUMBER(Inventory[[#This Row],[SaleDate]])), Inventory[[#This Row],[SaleDate]] - Inventory[[#This Row],[PurchaseDate]], TODAY() - Inventory[[#This Row],[PurchaseDate]])</f>
        <v>422</v>
      </c>
    </row>
    <row r="111" spans="1:16" x14ac:dyDescent="0.2">
      <c r="A111" s="21" t="s">
        <v>154</v>
      </c>
      <c r="B111" s="22" t="s">
        <v>150</v>
      </c>
      <c r="C111" s="22" t="s">
        <v>149</v>
      </c>
      <c r="D111" s="22" t="s">
        <v>158</v>
      </c>
      <c r="E111" s="22">
        <v>1.4</v>
      </c>
      <c r="F111" s="22">
        <v>50.781455399999999</v>
      </c>
      <c r="G111" s="22">
        <f>Inventory[[#This Row],[PurchasePrice/Gram]]*Inventory[[#This Row],[Weight(gm)]]</f>
        <v>71.09403755999999</v>
      </c>
      <c r="H111" s="23">
        <v>45167</v>
      </c>
      <c r="I111" s="22">
        <v>140</v>
      </c>
      <c r="J111" s="22">
        <v>115</v>
      </c>
      <c r="K111" s="40">
        <f>IF(OR(Inventory[[#This Row],[SellingPrice]]=0, Inventory[[#This Row],[SellingPrice]]=""), 0, Inventory[[#This Row],[SellingPrice]] - Inventory[[#This Row],[TotalCost]])</f>
        <v>43.90596244000001</v>
      </c>
      <c r="L111" s="24">
        <f>IF(Inventory[[#This Row],[SellingPrice]]&gt;0, Inventory[[#This Row],[GrossMargin]]/Inventory[[#This Row],[SellingPrice]], 0)</f>
        <v>0.38179097773913051</v>
      </c>
      <c r="M111" s="22" t="s">
        <v>177</v>
      </c>
      <c r="N111" s="23">
        <v>45719</v>
      </c>
      <c r="O111" s="22" t="str">
        <f>IF(AND(Inventory[[#This Row],[SellingPrice]]&lt;&gt;"", Inventory[[#This Row],[SellingPrice]]&gt;0), "Sold", "In Stock")</f>
        <v>Sold</v>
      </c>
      <c r="P111" s="25">
        <f ca="1">IF(AND(Inventory[[#This Row],[StockStatus]]="Sold", ISNUMBER(Inventory[[#This Row],[SaleDate]])), Inventory[[#This Row],[SaleDate]] - Inventory[[#This Row],[PurchaseDate]], TODAY() - Inventory[[#This Row],[PurchaseDate]])</f>
        <v>552</v>
      </c>
    </row>
    <row r="112" spans="1:16" x14ac:dyDescent="0.2">
      <c r="A112" s="27" t="s">
        <v>155</v>
      </c>
      <c r="B112" s="28" t="s">
        <v>150</v>
      </c>
      <c r="C112" s="28" t="s">
        <v>149</v>
      </c>
      <c r="D112" s="28" t="s">
        <v>158</v>
      </c>
      <c r="E112" s="28">
        <v>1.1000000000000001</v>
      </c>
      <c r="F112" s="22">
        <v>50.781455399999999</v>
      </c>
      <c r="G112" s="22">
        <f>Inventory[[#This Row],[PurchasePrice/Gram]]*Inventory[[#This Row],[Weight(gm)]]</f>
        <v>55.85960094</v>
      </c>
      <c r="H112" s="29">
        <v>45167</v>
      </c>
      <c r="I112" s="28">
        <v>110</v>
      </c>
      <c r="J112" s="28">
        <v>0</v>
      </c>
      <c r="K112" s="41">
        <f>IF(OR(Inventory[[#This Row],[SellingPrice]]=0, Inventory[[#This Row],[SellingPrice]]=""), 0, Inventory[[#This Row],[SellingPrice]] - Inventory[[#This Row],[TotalCost]])</f>
        <v>0</v>
      </c>
      <c r="L112" s="30">
        <f>IF(Inventory[[#This Row],[SellingPrice]]&gt;0, Inventory[[#This Row],[GrossMargin]]/Inventory[[#This Row],[SellingPrice]], 0)</f>
        <v>0</v>
      </c>
      <c r="M112" s="28"/>
      <c r="N112" s="29"/>
      <c r="O112" s="28" t="str">
        <f>IF(AND(Inventory[[#This Row],[SellingPrice]]&lt;&gt;"", Inventory[[#This Row],[SellingPrice]]&gt;0), "Sold", "In Stock")</f>
        <v>In Stock</v>
      </c>
      <c r="P112" s="31">
        <f ca="1">IF(AND(Inventory[[#This Row],[StockStatus]]="Sold", ISNUMBER(Inventory[[#This Row],[SaleDate]])), Inventory[[#This Row],[SaleDate]] - Inventory[[#This Row],[PurchaseDate]], TODAY() - Inventory[[#This Row],[PurchaseDate]])</f>
        <v>705</v>
      </c>
    </row>
    <row r="113" spans="1:14" x14ac:dyDescent="0.2">
      <c r="A113" s="1"/>
      <c r="B113" s="1"/>
      <c r="C113" s="1"/>
      <c r="D113" s="1"/>
      <c r="E113" s="1"/>
      <c r="F113" s="1"/>
      <c r="G113" s="1"/>
      <c r="H113" s="4"/>
      <c r="I113" s="1"/>
      <c r="J113" s="1"/>
      <c r="K113" s="42"/>
      <c r="L113" s="2"/>
      <c r="M113" s="1"/>
      <c r="N113" s="4"/>
    </row>
    <row r="114" spans="1:14" x14ac:dyDescent="0.2">
      <c r="A114" s="1"/>
      <c r="B114" s="1"/>
      <c r="C114" s="1"/>
      <c r="D114" s="1"/>
      <c r="E114" s="1"/>
      <c r="F114" s="1"/>
      <c r="G114" s="1"/>
      <c r="H114" s="4"/>
      <c r="I114" s="1"/>
      <c r="J114" s="1"/>
      <c r="K114" s="42"/>
      <c r="L114" s="2"/>
      <c r="M114" s="1"/>
      <c r="N114" s="4"/>
    </row>
    <row r="115" spans="1:14" x14ac:dyDescent="0.2">
      <c r="A115" s="1"/>
      <c r="B115" s="1"/>
      <c r="C115" s="1"/>
      <c r="D115" s="1"/>
      <c r="E115" s="1"/>
      <c r="F115" s="1"/>
      <c r="G115" s="1"/>
      <c r="H115" s="4"/>
      <c r="I115" s="1"/>
      <c r="J115" s="1"/>
      <c r="K115" s="42"/>
      <c r="L115" s="2"/>
      <c r="M115" s="1"/>
      <c r="N115" s="4"/>
    </row>
    <row r="116" spans="1:14" x14ac:dyDescent="0.2">
      <c r="A116" s="1"/>
      <c r="B116" s="1"/>
      <c r="C116" s="1"/>
      <c r="D116" s="1"/>
      <c r="E116" s="1"/>
      <c r="F116" s="1"/>
      <c r="G116" s="1"/>
      <c r="H116" s="4"/>
      <c r="I116" s="1"/>
      <c r="J116" s="1"/>
      <c r="K116" s="42"/>
      <c r="L116" s="2"/>
      <c r="M116" s="1"/>
      <c r="N116" s="4"/>
    </row>
  </sheetData>
  <conditionalFormatting sqref="A2:P112">
    <cfRule type="expression" dxfId="2" priority="1">
      <formula>$O2="Sold"</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763CB-28B3-8646-8FBB-AD9BDC9365D0}">
  <dimension ref="A1:L40"/>
  <sheetViews>
    <sheetView zoomScale="140" workbookViewId="0">
      <selection activeCell="I4" sqref="I4"/>
    </sheetView>
  </sheetViews>
  <sheetFormatPr baseColWidth="10" defaultRowHeight="16" x14ac:dyDescent="0.2"/>
  <cols>
    <col min="2" max="2" width="16" customWidth="1"/>
    <col min="6" max="6" width="12.6640625" style="5" customWidth="1"/>
    <col min="8" max="8" width="10.83203125" style="5"/>
    <col min="11" max="11" width="10.83203125" style="3"/>
  </cols>
  <sheetData>
    <row r="1" spans="1:12" s="32" customFormat="1" x14ac:dyDescent="0.2">
      <c r="A1" s="33" t="s">
        <v>156</v>
      </c>
      <c r="B1" s="33" t="s">
        <v>157</v>
      </c>
      <c r="C1" s="33" t="s">
        <v>0</v>
      </c>
      <c r="D1" s="33" t="s">
        <v>159</v>
      </c>
      <c r="E1" s="33" t="s">
        <v>210</v>
      </c>
      <c r="F1" s="34" t="s">
        <v>161</v>
      </c>
      <c r="G1" s="33" t="s">
        <v>165</v>
      </c>
      <c r="H1" s="34" t="s">
        <v>178</v>
      </c>
      <c r="I1" s="33" t="s">
        <v>162</v>
      </c>
      <c r="J1" s="33" t="s">
        <v>179</v>
      </c>
      <c r="K1" s="35" t="s">
        <v>180</v>
      </c>
      <c r="L1" s="33" t="s">
        <v>211</v>
      </c>
    </row>
    <row r="2" spans="1:12" x14ac:dyDescent="0.2">
      <c r="A2" s="36" t="str" cm="1">
        <f t="array" ref="A2:A40">_xlfn._xlws.FILTER(Inventory[ProductID], Inventory[StockStatus]="Sold")</f>
        <v>C53</v>
      </c>
      <c r="B2" s="36" t="str" cm="1">
        <f t="array" ref="B2:B40">_xlfn._xlws.FILTER(Inventory[ProductName], Inventory[StockStatus]="Sold")</f>
        <v>Chains 10k - 24"</v>
      </c>
      <c r="C2" s="36" t="str" cm="1">
        <f t="array" ref="C2:C40">_xlfn._xlws.FILTER(Inventory[Category], Inventory[StockStatus]="Sold")</f>
        <v>Chains</v>
      </c>
      <c r="D2" s="36" t="str" cm="1">
        <f t="array" ref="D2:D40">_xlfn._xlws.FILTER(Inventory[MetalType], Inventory[StockStatus]="Sold")</f>
        <v>Gold</v>
      </c>
      <c r="E2" s="36" cm="1">
        <f t="array" ref="E2:E40">_xlfn._xlws.FILTER(Inventory[Weight(gm)], Inventory[StockStatus]="Sold")</f>
        <v>5.5</v>
      </c>
      <c r="F2" s="37" cm="1">
        <f t="array" ref="F2:F40">_xlfn._xlws.FILTER(Inventory[PurchaseDate], Inventory[StockStatus]="Sold")</f>
        <v>45091</v>
      </c>
      <c r="G2" s="36" cm="1">
        <f t="array" ref="G2:G40">_xlfn._xlws.FILTER(Inventory[SellingPrice], Inventory[StockStatus]="Sold")</f>
        <v>520</v>
      </c>
      <c r="H2" s="37" cm="1">
        <f t="array" ref="H2:H40">_xlfn._xlws.FILTER(Inventory[SaleDate], Inventory[StockStatus]="Sold")</f>
        <v>45264</v>
      </c>
      <c r="I2" s="36" cm="1">
        <f t="array" ref="I2:I40">_xlfn._xlws.FILTER(Inventory[TotalCost], Inventory[StockStatus]="Sold")</f>
        <v>268.79828277500002</v>
      </c>
      <c r="J2" s="36" cm="1">
        <f t="array" ref="J2:J40">_xlfn._xlws.FILTER(Inventory[GrossMargin], Inventory[StockStatus]="Sold")</f>
        <v>251.20171722499998</v>
      </c>
      <c r="K2" s="38" cm="1">
        <f t="array" ref="K2:K40">_xlfn._xlws.FILTER(Inventory[MarginPercent], Inventory[StockStatus]="Sold")</f>
        <v>0.48308022543269225</v>
      </c>
      <c r="L2" s="36" t="str" cm="1">
        <f t="array" ref="L2:L40">_xlfn._xlws.FILTER(Inventory[SoldTo], Inventory[StockStatus]="Sold")</f>
        <v>Kathleen</v>
      </c>
    </row>
    <row r="3" spans="1:12" x14ac:dyDescent="0.2">
      <c r="A3" s="36" t="str">
        <v>C55</v>
      </c>
      <c r="B3" s="36" t="str">
        <v>Chains 10k-22"</v>
      </c>
      <c r="C3" s="36" t="str">
        <v>Chains</v>
      </c>
      <c r="D3" s="36" t="str">
        <v>Gold</v>
      </c>
      <c r="E3" s="36">
        <v>5.2</v>
      </c>
      <c r="F3" s="37">
        <v>45091</v>
      </c>
      <c r="G3" s="36">
        <v>430</v>
      </c>
      <c r="H3" s="37">
        <v>45122</v>
      </c>
      <c r="I3" s="36">
        <v>254.13655826000002</v>
      </c>
      <c r="J3" s="36">
        <v>175.86344173999998</v>
      </c>
      <c r="K3" s="38">
        <v>0.40898474823255809</v>
      </c>
      <c r="L3" s="36" t="str">
        <v>Shimona</v>
      </c>
    </row>
    <row r="4" spans="1:12" x14ac:dyDescent="0.2">
      <c r="A4" s="36" t="str">
        <v>C56</v>
      </c>
      <c r="B4" s="36" t="str">
        <v>Chains 10k-16"</v>
      </c>
      <c r="C4" s="36" t="str">
        <v>Chains</v>
      </c>
      <c r="D4" s="36" t="str">
        <v>Gold</v>
      </c>
      <c r="E4" s="36">
        <v>1.8</v>
      </c>
      <c r="F4" s="37">
        <v>45091</v>
      </c>
      <c r="G4" s="36">
        <v>175</v>
      </c>
      <c r="H4" s="37">
        <v>45114</v>
      </c>
      <c r="I4" s="36">
        <v>87.970347090000004</v>
      </c>
      <c r="J4" s="36">
        <v>87.029652909999996</v>
      </c>
      <c r="K4" s="38">
        <v>0.49731230234285712</v>
      </c>
      <c r="L4" s="36" t="str">
        <v>Vishal</v>
      </c>
    </row>
    <row r="5" spans="1:12" x14ac:dyDescent="0.2">
      <c r="A5" s="36" t="str">
        <v>C57</v>
      </c>
      <c r="B5" s="36" t="str">
        <v>Chains 10k-16"</v>
      </c>
      <c r="C5" s="36" t="str">
        <v>Chains</v>
      </c>
      <c r="D5" s="36" t="str">
        <v>Gold</v>
      </c>
      <c r="E5" s="36">
        <v>1.9</v>
      </c>
      <c r="F5" s="37">
        <v>45091</v>
      </c>
      <c r="G5" s="36">
        <v>215</v>
      </c>
      <c r="H5" s="37">
        <v>45151</v>
      </c>
      <c r="I5" s="36">
        <v>92.857588594999996</v>
      </c>
      <c r="J5" s="36">
        <v>122.142411405</v>
      </c>
      <c r="K5" s="38">
        <v>0.56810423909302332</v>
      </c>
      <c r="L5" s="36" t="str">
        <v>Esha</v>
      </c>
    </row>
    <row r="6" spans="1:12" x14ac:dyDescent="0.2">
      <c r="A6" s="36" t="str">
        <v>C59</v>
      </c>
      <c r="B6" s="36" t="str">
        <v>Chains 10k-18"</v>
      </c>
      <c r="C6" s="36" t="str">
        <v>Chains</v>
      </c>
      <c r="D6" s="36" t="str">
        <v>Gold</v>
      </c>
      <c r="E6" s="36">
        <v>2.1</v>
      </c>
      <c r="F6" s="37">
        <v>45091</v>
      </c>
      <c r="G6" s="36">
        <v>103</v>
      </c>
      <c r="H6" s="37">
        <v>45178</v>
      </c>
      <c r="I6" s="36">
        <v>102.63207160500001</v>
      </c>
      <c r="J6" s="36">
        <v>0.36792839499999275</v>
      </c>
      <c r="K6" s="38">
        <v>3.572120339805755E-3</v>
      </c>
      <c r="L6" s="36" t="str">
        <v>Divya</v>
      </c>
    </row>
    <row r="7" spans="1:12" x14ac:dyDescent="0.2">
      <c r="A7" s="36" t="str">
        <v>E64</v>
      </c>
      <c r="B7" s="36" t="str">
        <v>Fancy Hoops</v>
      </c>
      <c r="C7" s="36" t="str">
        <v>Ear Ring</v>
      </c>
      <c r="D7" s="36" t="str">
        <v>Gold</v>
      </c>
      <c r="E7" s="36">
        <v>3</v>
      </c>
      <c r="F7" s="37">
        <v>45091</v>
      </c>
      <c r="G7" s="36">
        <v>210</v>
      </c>
      <c r="H7" s="37">
        <v>45136</v>
      </c>
      <c r="I7" s="36">
        <v>146.61724515</v>
      </c>
      <c r="J7" s="36">
        <v>63.382754849999998</v>
      </c>
      <c r="K7" s="38">
        <v>0.30182264214285714</v>
      </c>
      <c r="L7" s="36" t="str">
        <v>Mahesh</v>
      </c>
    </row>
    <row r="8" spans="1:12" x14ac:dyDescent="0.2">
      <c r="A8" s="36" t="str">
        <v>E66</v>
      </c>
      <c r="B8" s="36" t="str">
        <v>Fancy Hoops</v>
      </c>
      <c r="C8" s="36" t="str">
        <v>Ear Ring</v>
      </c>
      <c r="D8" s="36" t="str">
        <v>Gold</v>
      </c>
      <c r="E8" s="36">
        <v>2.2999999999999998</v>
      </c>
      <c r="F8" s="37">
        <v>45091</v>
      </c>
      <c r="G8" s="36">
        <v>170</v>
      </c>
      <c r="H8" s="37">
        <v>45521</v>
      </c>
      <c r="I8" s="36">
        <v>112.40655461499999</v>
      </c>
      <c r="J8" s="36">
        <v>57.59344538500001</v>
      </c>
      <c r="K8" s="38">
        <v>0.33878497285294124</v>
      </c>
      <c r="L8" s="36" t="str">
        <v>Vijay</v>
      </c>
    </row>
    <row r="9" spans="1:12" x14ac:dyDescent="0.2">
      <c r="A9" s="36" t="str">
        <v>E69</v>
      </c>
      <c r="B9" s="36" t="str">
        <v>Fancy Hoops</v>
      </c>
      <c r="C9" s="36" t="str">
        <v>Ear Ring</v>
      </c>
      <c r="D9" s="36" t="str">
        <v>Gold</v>
      </c>
      <c r="E9" s="36">
        <v>1.2</v>
      </c>
      <c r="F9" s="37">
        <v>45091</v>
      </c>
      <c r="G9" s="36">
        <v>100</v>
      </c>
      <c r="H9" s="37">
        <v>45171</v>
      </c>
      <c r="I9" s="36">
        <v>58.646898059999998</v>
      </c>
      <c r="J9" s="36">
        <v>41.353101940000002</v>
      </c>
      <c r="K9" s="38">
        <v>0.41353101940000003</v>
      </c>
      <c r="L9" s="36" t="str">
        <v>Dianne</v>
      </c>
    </row>
    <row r="10" spans="1:12" x14ac:dyDescent="0.2">
      <c r="A10" s="36" t="str">
        <v>E70</v>
      </c>
      <c r="B10" s="36" t="str">
        <v>Fancy Hoops</v>
      </c>
      <c r="C10" s="36" t="str">
        <v>Ear Ring</v>
      </c>
      <c r="D10" s="36" t="str">
        <v>Gold</v>
      </c>
      <c r="E10" s="36">
        <v>2.5</v>
      </c>
      <c r="F10" s="37">
        <v>45091</v>
      </c>
      <c r="G10" s="36">
        <v>180</v>
      </c>
      <c r="H10" s="37">
        <v>45480</v>
      </c>
      <c r="I10" s="36">
        <v>122.181037625</v>
      </c>
      <c r="J10" s="36">
        <v>57.818962374999998</v>
      </c>
      <c r="K10" s="38">
        <v>0.3212164576388889</v>
      </c>
      <c r="L10" s="36" t="str">
        <v>Meenakshi</v>
      </c>
    </row>
    <row r="11" spans="1:12" x14ac:dyDescent="0.2">
      <c r="A11" s="36" t="str">
        <v>E71</v>
      </c>
      <c r="B11" s="36" t="str">
        <v>Fancy Hoops</v>
      </c>
      <c r="C11" s="36" t="str">
        <v>Ear Ring</v>
      </c>
      <c r="D11" s="36" t="str">
        <v>Gold</v>
      </c>
      <c r="E11" s="36">
        <v>3.2</v>
      </c>
      <c r="F11" s="37">
        <v>45091</v>
      </c>
      <c r="G11" s="36">
        <v>250</v>
      </c>
      <c r="H11" s="37">
        <v>45335</v>
      </c>
      <c r="I11" s="36">
        <v>156.39172816000001</v>
      </c>
      <c r="J11" s="36">
        <v>93.608271839999986</v>
      </c>
      <c r="K11" s="38">
        <v>0.37443308735999997</v>
      </c>
      <c r="L11" s="36" t="str">
        <v>Tayo</v>
      </c>
    </row>
    <row r="12" spans="1:12" x14ac:dyDescent="0.2">
      <c r="A12" s="36" t="str">
        <v>E74</v>
      </c>
      <c r="B12" s="36" t="str">
        <v>Fancy Hoops</v>
      </c>
      <c r="C12" s="36" t="str">
        <v>Ear Ring</v>
      </c>
      <c r="D12" s="36" t="str">
        <v>Gold</v>
      </c>
      <c r="E12" s="36">
        <v>1.7</v>
      </c>
      <c r="F12" s="37">
        <v>45091</v>
      </c>
      <c r="G12" s="36">
        <v>180</v>
      </c>
      <c r="H12" s="37">
        <v>45431</v>
      </c>
      <c r="I12" s="36">
        <v>83.083105584999998</v>
      </c>
      <c r="J12" s="36">
        <v>96.916894415000002</v>
      </c>
      <c r="K12" s="38">
        <v>0.53842719119444449</v>
      </c>
      <c r="L12" s="36" t="str">
        <v>Bably</v>
      </c>
    </row>
    <row r="13" spans="1:12" x14ac:dyDescent="0.2">
      <c r="A13" s="36" t="str">
        <v>E79</v>
      </c>
      <c r="B13" s="36" t="str">
        <v>Fancy Hoops</v>
      </c>
      <c r="C13" s="36" t="str">
        <v>Ear Ring</v>
      </c>
      <c r="D13" s="36" t="str">
        <v>Gold</v>
      </c>
      <c r="E13" s="36">
        <v>1.4</v>
      </c>
      <c r="F13" s="37">
        <v>45091</v>
      </c>
      <c r="G13" s="36">
        <v>150</v>
      </c>
      <c r="H13" s="37">
        <v>45236</v>
      </c>
      <c r="I13" s="36">
        <v>68.421381069999995</v>
      </c>
      <c r="J13" s="36">
        <v>81.578618930000005</v>
      </c>
      <c r="K13" s="38">
        <v>0.54385745953333331</v>
      </c>
      <c r="L13" s="36" t="str">
        <v>Connie</v>
      </c>
    </row>
    <row r="14" spans="1:12" x14ac:dyDescent="0.2">
      <c r="A14" s="36" t="str">
        <v>E80</v>
      </c>
      <c r="B14" s="36" t="str">
        <v>Fancy Hoops</v>
      </c>
      <c r="C14" s="36" t="str">
        <v>Ear Ring</v>
      </c>
      <c r="D14" s="36" t="str">
        <v>Gold</v>
      </c>
      <c r="E14" s="36">
        <v>1.9</v>
      </c>
      <c r="F14" s="37">
        <v>45091</v>
      </c>
      <c r="G14" s="36">
        <v>157</v>
      </c>
      <c r="H14" s="37">
        <v>45649</v>
      </c>
      <c r="I14" s="36">
        <v>92.857588594999996</v>
      </c>
      <c r="J14" s="36">
        <v>64.142411405000004</v>
      </c>
      <c r="K14" s="38">
        <v>0.40855039111464969</v>
      </c>
      <c r="L14" s="36" t="str">
        <v>Suresh</v>
      </c>
    </row>
    <row r="15" spans="1:12" x14ac:dyDescent="0.2">
      <c r="A15" s="36" t="str">
        <v>E81</v>
      </c>
      <c r="B15" s="36" t="str">
        <v>Fancy Hoops</v>
      </c>
      <c r="C15" s="36" t="str">
        <v>Ear Ring</v>
      </c>
      <c r="D15" s="36" t="str">
        <v>Gold</v>
      </c>
      <c r="E15" s="36">
        <v>1.3</v>
      </c>
      <c r="F15" s="37">
        <v>45091</v>
      </c>
      <c r="G15" s="36">
        <v>108</v>
      </c>
      <c r="H15" s="37">
        <v>45283</v>
      </c>
      <c r="I15" s="36">
        <v>63.534139565000004</v>
      </c>
      <c r="J15" s="36">
        <v>44.465860434999996</v>
      </c>
      <c r="K15" s="38">
        <v>0.41172092995370368</v>
      </c>
      <c r="L15" s="36" t="str">
        <v>Suresh</v>
      </c>
    </row>
    <row r="16" spans="1:12" x14ac:dyDescent="0.2">
      <c r="A16" s="36" t="str">
        <v>E85</v>
      </c>
      <c r="B16" s="36" t="str">
        <v>Fancy Hoops</v>
      </c>
      <c r="C16" s="36" t="str">
        <v>Ear Ring</v>
      </c>
      <c r="D16" s="36" t="str">
        <v>Gold</v>
      </c>
      <c r="E16" s="36">
        <v>2.2999999999999998</v>
      </c>
      <c r="F16" s="37">
        <v>45091</v>
      </c>
      <c r="G16" s="36">
        <v>180</v>
      </c>
      <c r="H16" s="37">
        <v>45374</v>
      </c>
      <c r="I16" s="36">
        <v>112.40655461499999</v>
      </c>
      <c r="J16" s="36">
        <v>67.59344538500001</v>
      </c>
      <c r="K16" s="38">
        <v>0.37551914102777784</v>
      </c>
      <c r="L16" s="36" t="str">
        <v>Ganga</v>
      </c>
    </row>
    <row r="17" spans="1:12" x14ac:dyDescent="0.2">
      <c r="A17" s="36" t="str">
        <v>C64</v>
      </c>
      <c r="B17" s="36" t="str">
        <v>Chains 10k-18"</v>
      </c>
      <c r="C17" s="36" t="str">
        <v>Chains</v>
      </c>
      <c r="D17" s="36" t="str">
        <v>Silver</v>
      </c>
      <c r="E17" s="36">
        <v>2.2999999999999998</v>
      </c>
      <c r="F17" s="37">
        <v>45139</v>
      </c>
      <c r="G17" s="36">
        <v>165</v>
      </c>
      <c r="H17" s="37">
        <v>45510</v>
      </c>
      <c r="I17" s="36">
        <v>117.01436000999999</v>
      </c>
      <c r="J17" s="36">
        <v>47.98563999000001</v>
      </c>
      <c r="K17" s="38">
        <v>0.29082206054545462</v>
      </c>
      <c r="L17" s="36" t="str">
        <v>Preeti</v>
      </c>
    </row>
    <row r="18" spans="1:12" x14ac:dyDescent="0.2">
      <c r="A18" s="36" t="str">
        <v>C66</v>
      </c>
      <c r="B18" s="36" t="str">
        <v>Chains 10k-18"</v>
      </c>
      <c r="C18" s="36" t="str">
        <v>Chains</v>
      </c>
      <c r="D18" s="36" t="str">
        <v>Gold</v>
      </c>
      <c r="E18" s="36">
        <v>2.9</v>
      </c>
      <c r="F18" s="37">
        <v>45139</v>
      </c>
      <c r="G18" s="36">
        <v>220</v>
      </c>
      <c r="H18" s="37">
        <v>45159</v>
      </c>
      <c r="I18" s="36">
        <v>147.53984523</v>
      </c>
      <c r="J18" s="36">
        <v>72.460154770000003</v>
      </c>
      <c r="K18" s="38">
        <v>0.32936433986363639</v>
      </c>
      <c r="L18" s="36" t="str">
        <v>Shikha</v>
      </c>
    </row>
    <row r="19" spans="1:12" x14ac:dyDescent="0.2">
      <c r="A19" s="36" t="str">
        <v>B71</v>
      </c>
      <c r="B19" s="36" t="str">
        <v>Bracelet -Y</v>
      </c>
      <c r="C19" s="36" t="str">
        <v>Bracelet</v>
      </c>
      <c r="D19" s="36" t="str">
        <v>Gold</v>
      </c>
      <c r="E19" s="36">
        <v>1.2</v>
      </c>
      <c r="F19" s="37">
        <v>45139</v>
      </c>
      <c r="G19" s="36">
        <v>100</v>
      </c>
      <c r="H19" s="37">
        <v>45510</v>
      </c>
      <c r="I19" s="36">
        <v>61.05097044</v>
      </c>
      <c r="J19" s="36">
        <v>38.94902956</v>
      </c>
      <c r="K19" s="38">
        <v>0.38949029559999998</v>
      </c>
      <c r="L19" s="36" t="str">
        <v>Preeti</v>
      </c>
    </row>
    <row r="20" spans="1:12" x14ac:dyDescent="0.2">
      <c r="A20" s="36" t="str">
        <v>B72</v>
      </c>
      <c r="B20" s="36" t="str">
        <v>Bracelet -Y</v>
      </c>
      <c r="C20" s="36" t="str">
        <v>Bracelet</v>
      </c>
      <c r="D20" s="36" t="str">
        <v>Gold</v>
      </c>
      <c r="E20" s="36">
        <v>1.4</v>
      </c>
      <c r="F20" s="37">
        <v>45139</v>
      </c>
      <c r="G20" s="36">
        <v>105</v>
      </c>
      <c r="H20" s="37">
        <v>45145</v>
      </c>
      <c r="I20" s="36">
        <v>71.226132179999993</v>
      </c>
      <c r="J20" s="36">
        <v>33.773867820000007</v>
      </c>
      <c r="K20" s="38">
        <v>0.32165588400000006</v>
      </c>
      <c r="L20" s="36" t="str">
        <v>Meenakshi</v>
      </c>
    </row>
    <row r="21" spans="1:12" x14ac:dyDescent="0.2">
      <c r="A21" s="36" t="str">
        <v>B73</v>
      </c>
      <c r="B21" s="36" t="str">
        <v>Bracelet -W</v>
      </c>
      <c r="C21" s="36" t="str">
        <v>Bracelet</v>
      </c>
      <c r="D21" s="36" t="str">
        <v>Silver</v>
      </c>
      <c r="E21" s="36">
        <v>1.5</v>
      </c>
      <c r="F21" s="37">
        <v>45139</v>
      </c>
      <c r="G21" s="36">
        <v>115</v>
      </c>
      <c r="H21" s="37">
        <v>45150</v>
      </c>
      <c r="I21" s="36">
        <v>76.313713050000004</v>
      </c>
      <c r="J21" s="36">
        <v>38.686286949999996</v>
      </c>
      <c r="K21" s="38">
        <v>0.3364024952173913</v>
      </c>
      <c r="L21" s="36" t="str">
        <v>Harjeet</v>
      </c>
    </row>
    <row r="22" spans="1:12" x14ac:dyDescent="0.2">
      <c r="A22" s="36" t="str">
        <v>P81</v>
      </c>
      <c r="B22" s="36" t="str">
        <v>Pendant</v>
      </c>
      <c r="C22" s="36" t="str">
        <v>Pendant</v>
      </c>
      <c r="D22" s="36" t="str">
        <v>Gold</v>
      </c>
      <c r="E22" s="36">
        <v>1.2</v>
      </c>
      <c r="F22" s="37">
        <v>45139</v>
      </c>
      <c r="G22" s="36">
        <v>100</v>
      </c>
      <c r="H22" s="37">
        <v>45525</v>
      </c>
      <c r="I22" s="36">
        <v>61.05097044</v>
      </c>
      <c r="J22" s="36">
        <v>38.94902956</v>
      </c>
      <c r="K22" s="38">
        <v>0.38949029559999998</v>
      </c>
      <c r="L22" s="36" t="str">
        <v>Shikha</v>
      </c>
    </row>
    <row r="23" spans="1:12" x14ac:dyDescent="0.2">
      <c r="A23" s="36" t="str">
        <v>P83</v>
      </c>
      <c r="B23" s="36" t="str">
        <v>Pendant</v>
      </c>
      <c r="C23" s="36" t="str">
        <v>Pendant</v>
      </c>
      <c r="D23" s="36" t="str">
        <v>Gold</v>
      </c>
      <c r="E23" s="36">
        <v>1.3</v>
      </c>
      <c r="F23" s="37">
        <v>45139</v>
      </c>
      <c r="G23" s="36">
        <v>101.25</v>
      </c>
      <c r="H23" s="37">
        <v>45629</v>
      </c>
      <c r="I23" s="36">
        <v>66.138551309999997</v>
      </c>
      <c r="J23" s="36">
        <v>35.111448690000003</v>
      </c>
      <c r="K23" s="38">
        <v>0.34677974014814816</v>
      </c>
      <c r="L23" s="36" t="str">
        <v>Sudhir</v>
      </c>
    </row>
    <row r="24" spans="1:12" x14ac:dyDescent="0.2">
      <c r="A24" s="36" t="str">
        <v>P85</v>
      </c>
      <c r="B24" s="36" t="str">
        <v>Pendant</v>
      </c>
      <c r="C24" s="36" t="str">
        <v>Pendant</v>
      </c>
      <c r="D24" s="36" t="str">
        <v>Gold</v>
      </c>
      <c r="E24" s="36">
        <v>0.5</v>
      </c>
      <c r="F24" s="37">
        <v>45139</v>
      </c>
      <c r="G24" s="36">
        <v>40</v>
      </c>
      <c r="H24" s="37">
        <v>45517</v>
      </c>
      <c r="I24" s="36">
        <v>25.43790435</v>
      </c>
      <c r="J24" s="36">
        <v>14.56209565</v>
      </c>
      <c r="K24" s="38">
        <v>0.36405239125</v>
      </c>
      <c r="L24" s="36" t="str">
        <v>Esha</v>
      </c>
    </row>
    <row r="25" spans="1:12" x14ac:dyDescent="0.2">
      <c r="A25" s="36" t="str">
        <v>P90</v>
      </c>
      <c r="B25" s="36" t="str">
        <v>Pendant</v>
      </c>
      <c r="C25" s="36" t="str">
        <v>Pendant</v>
      </c>
      <c r="D25" s="36" t="str">
        <v>Gold</v>
      </c>
      <c r="E25" s="36">
        <v>0.6</v>
      </c>
      <c r="F25" s="37">
        <v>45139</v>
      </c>
      <c r="G25" s="36">
        <v>58</v>
      </c>
      <c r="H25" s="37">
        <v>45153</v>
      </c>
      <c r="I25" s="36">
        <v>30.52548522</v>
      </c>
      <c r="J25" s="36">
        <v>27.47451478</v>
      </c>
      <c r="K25" s="38">
        <v>0.47369853068965517</v>
      </c>
      <c r="L25" s="36" t="str">
        <v>Jawahar</v>
      </c>
    </row>
    <row r="26" spans="1:12" x14ac:dyDescent="0.2">
      <c r="A26" s="36" t="str">
        <v>P91</v>
      </c>
      <c r="B26" s="36" t="str">
        <v>Pendant</v>
      </c>
      <c r="C26" s="36" t="str">
        <v>Pendant</v>
      </c>
      <c r="D26" s="36" t="str">
        <v>Gold</v>
      </c>
      <c r="E26" s="36">
        <v>0.3</v>
      </c>
      <c r="F26" s="37">
        <v>45139</v>
      </c>
      <c r="G26" s="36">
        <v>50</v>
      </c>
      <c r="H26" s="37">
        <v>45171</v>
      </c>
      <c r="I26" s="36">
        <v>15.26274261</v>
      </c>
      <c r="J26" s="36">
        <v>34.737257389999996</v>
      </c>
      <c r="K26" s="38">
        <v>0.69474514779999996</v>
      </c>
      <c r="L26" s="36" t="str">
        <v>Dianne</v>
      </c>
    </row>
    <row r="27" spans="1:12" x14ac:dyDescent="0.2">
      <c r="A27" s="36" t="str">
        <v>E86</v>
      </c>
      <c r="B27" s="36" t="str">
        <v>Fancy Hoops</v>
      </c>
      <c r="C27" s="36" t="str">
        <v>Ear Ring</v>
      </c>
      <c r="D27" s="36" t="str">
        <v>Gold</v>
      </c>
      <c r="E27" s="36">
        <v>2.2999999999999998</v>
      </c>
      <c r="F27" s="37">
        <v>45139</v>
      </c>
      <c r="G27" s="36">
        <v>200</v>
      </c>
      <c r="H27" s="37">
        <v>45263</v>
      </c>
      <c r="I27" s="36">
        <v>117.01436000999999</v>
      </c>
      <c r="J27" s="36">
        <v>82.98563999000001</v>
      </c>
      <c r="K27" s="38">
        <v>0.41492819995000008</v>
      </c>
      <c r="L27" s="36" t="str">
        <v>Prathamesh</v>
      </c>
    </row>
    <row r="28" spans="1:12" x14ac:dyDescent="0.2">
      <c r="A28" s="36" t="str">
        <v>R95</v>
      </c>
      <c r="B28" s="36" t="str">
        <v>Rings</v>
      </c>
      <c r="C28" s="36" t="str">
        <v>Rings</v>
      </c>
      <c r="D28" s="36" t="str">
        <v>Gold</v>
      </c>
      <c r="E28" s="36">
        <v>1.3</v>
      </c>
      <c r="F28" s="37">
        <v>45139</v>
      </c>
      <c r="G28" s="36">
        <v>135</v>
      </c>
      <c r="H28" s="37">
        <v>45200</v>
      </c>
      <c r="I28" s="36">
        <v>66.138551309999997</v>
      </c>
      <c r="J28" s="36">
        <v>68.861448690000003</v>
      </c>
      <c r="K28" s="38">
        <v>0.51008480511111109</v>
      </c>
      <c r="L28" s="36" t="str">
        <v>Gori</v>
      </c>
    </row>
    <row r="29" spans="1:12" x14ac:dyDescent="0.2">
      <c r="A29" s="36" t="str">
        <v>R97</v>
      </c>
      <c r="B29" s="36" t="str">
        <v>Rings</v>
      </c>
      <c r="C29" s="36" t="str">
        <v>Rings</v>
      </c>
      <c r="D29" s="36" t="str">
        <v>Gold</v>
      </c>
      <c r="E29" s="36">
        <v>4.0999999999999996</v>
      </c>
      <c r="F29" s="37">
        <v>45139</v>
      </c>
      <c r="G29" s="36">
        <v>375</v>
      </c>
      <c r="H29" s="37">
        <v>45519</v>
      </c>
      <c r="I29" s="36">
        <v>208.59081566999998</v>
      </c>
      <c r="J29" s="36">
        <v>166.40918433000002</v>
      </c>
      <c r="K29" s="38">
        <v>0.44375782488000004</v>
      </c>
      <c r="L29" s="36" t="str">
        <v>Param</v>
      </c>
    </row>
    <row r="30" spans="1:12" x14ac:dyDescent="0.2">
      <c r="A30" s="36" t="str">
        <v>R99</v>
      </c>
      <c r="B30" s="36" t="str">
        <v>Rings</v>
      </c>
      <c r="C30" s="36" t="str">
        <v>Rings</v>
      </c>
      <c r="D30" s="36" t="str">
        <v>Gold</v>
      </c>
      <c r="E30" s="36">
        <v>0.9</v>
      </c>
      <c r="F30" s="37">
        <v>45139</v>
      </c>
      <c r="G30" s="36">
        <v>80</v>
      </c>
      <c r="H30" s="37">
        <v>45147</v>
      </c>
      <c r="I30" s="36">
        <v>45.788227830000004</v>
      </c>
      <c r="J30" s="36">
        <v>34.211772169999996</v>
      </c>
      <c r="K30" s="38">
        <v>0.42764715212499993</v>
      </c>
      <c r="L30" s="36" t="str">
        <v>Richa</v>
      </c>
    </row>
    <row r="31" spans="1:12" x14ac:dyDescent="0.2">
      <c r="A31" s="36" t="str">
        <v>R100</v>
      </c>
      <c r="B31" s="36" t="str">
        <v>Rings</v>
      </c>
      <c r="C31" s="36" t="str">
        <v>Rings</v>
      </c>
      <c r="D31" s="36" t="str">
        <v>Gold</v>
      </c>
      <c r="E31" s="36">
        <v>1.9</v>
      </c>
      <c r="F31" s="37">
        <v>45139</v>
      </c>
      <c r="G31" s="36">
        <v>165</v>
      </c>
      <c r="H31" s="37">
        <v>45155</v>
      </c>
      <c r="I31" s="36">
        <v>96.66403652999999</v>
      </c>
      <c r="J31" s="36">
        <v>68.33596347000001</v>
      </c>
      <c r="K31" s="38">
        <v>0.41415735436363643</v>
      </c>
      <c r="L31" s="36" t="str">
        <v>Bunty</v>
      </c>
    </row>
    <row r="32" spans="1:12" x14ac:dyDescent="0.2">
      <c r="A32" s="36" t="str">
        <v>R101</v>
      </c>
      <c r="B32" s="36" t="str">
        <v>Rings</v>
      </c>
      <c r="C32" s="36" t="str">
        <v>Rings</v>
      </c>
      <c r="D32" s="36" t="str">
        <v>Gold</v>
      </c>
      <c r="E32" s="36">
        <v>1.8</v>
      </c>
      <c r="F32" s="37">
        <v>45139</v>
      </c>
      <c r="G32" s="36">
        <v>155</v>
      </c>
      <c r="H32" s="37">
        <v>45151</v>
      </c>
      <c r="I32" s="36">
        <v>91.576455660000008</v>
      </c>
      <c r="J32" s="36">
        <v>63.423544339999992</v>
      </c>
      <c r="K32" s="38">
        <v>0.40918415703225802</v>
      </c>
      <c r="L32" s="36" t="str">
        <v>Esha</v>
      </c>
    </row>
    <row r="33" spans="1:12" x14ac:dyDescent="0.2">
      <c r="A33" s="36" t="str">
        <v>B83</v>
      </c>
      <c r="B33" s="36" t="str">
        <v>Bracelet-Y</v>
      </c>
      <c r="C33" s="36" t="str">
        <v>Bracelet</v>
      </c>
      <c r="D33" s="36" t="str">
        <v>Gold</v>
      </c>
      <c r="E33" s="36">
        <v>1.4</v>
      </c>
      <c r="F33" s="37">
        <v>45167</v>
      </c>
      <c r="G33" s="36">
        <v>130</v>
      </c>
      <c r="H33" s="37">
        <v>45240</v>
      </c>
      <c r="I33" s="36">
        <v>71.09403755999999</v>
      </c>
      <c r="J33" s="36">
        <v>58.90596244000001</v>
      </c>
      <c r="K33" s="38">
        <v>0.45312278800000005</v>
      </c>
      <c r="L33" s="36" t="str">
        <v>Komal</v>
      </c>
    </row>
    <row r="34" spans="1:12" x14ac:dyDescent="0.2">
      <c r="A34" s="36" t="str">
        <v>B84</v>
      </c>
      <c r="B34" s="36" t="str">
        <v>Bracelet-Y</v>
      </c>
      <c r="C34" s="36" t="str">
        <v>Bracelet</v>
      </c>
      <c r="D34" s="36" t="str">
        <v>Gold</v>
      </c>
      <c r="E34" s="36">
        <v>1.4</v>
      </c>
      <c r="F34" s="37">
        <v>45167</v>
      </c>
      <c r="G34" s="36">
        <v>125</v>
      </c>
      <c r="H34" s="37">
        <v>45228</v>
      </c>
      <c r="I34" s="36">
        <v>71.09403755999999</v>
      </c>
      <c r="J34" s="36">
        <v>53.90596244000001</v>
      </c>
      <c r="K34" s="38">
        <v>0.43124769952000008</v>
      </c>
      <c r="L34" s="36" t="str">
        <v>Kesar</v>
      </c>
    </row>
    <row r="35" spans="1:12" x14ac:dyDescent="0.2">
      <c r="A35" s="36" t="str">
        <v>C73</v>
      </c>
      <c r="B35" s="36" t="str">
        <v>Chain 10k 16' -Y</v>
      </c>
      <c r="C35" s="36" t="str">
        <v>Chains</v>
      </c>
      <c r="D35" s="36" t="str">
        <v>Gold</v>
      </c>
      <c r="E35" s="36">
        <v>1.6</v>
      </c>
      <c r="F35" s="37">
        <v>45167</v>
      </c>
      <c r="G35" s="36">
        <v>148.75</v>
      </c>
      <c r="H35" s="37">
        <v>45263</v>
      </c>
      <c r="I35" s="36">
        <v>81.250328640000006</v>
      </c>
      <c r="J35" s="36">
        <v>67.499671359999994</v>
      </c>
      <c r="K35" s="38">
        <v>0.45377930326050414</v>
      </c>
      <c r="L35" s="36" t="str">
        <v>Sudhir</v>
      </c>
    </row>
    <row r="36" spans="1:12" x14ac:dyDescent="0.2">
      <c r="A36" s="36" t="str">
        <v>P93</v>
      </c>
      <c r="B36" s="36" t="str">
        <v>Pendant-Y</v>
      </c>
      <c r="C36" s="36" t="str">
        <v>Pendant</v>
      </c>
      <c r="D36" s="36" t="str">
        <v>Gold</v>
      </c>
      <c r="E36" s="36">
        <v>1.5</v>
      </c>
      <c r="F36" s="37">
        <v>45167</v>
      </c>
      <c r="G36" s="36">
        <v>135</v>
      </c>
      <c r="H36" s="37">
        <v>45743</v>
      </c>
      <c r="I36" s="36">
        <v>76.172183099999998</v>
      </c>
      <c r="J36" s="36">
        <v>58.827816900000002</v>
      </c>
      <c r="K36" s="38">
        <v>0.43576160666666669</v>
      </c>
      <c r="L36" s="36" t="str">
        <v>Gurpreet</v>
      </c>
    </row>
    <row r="37" spans="1:12" x14ac:dyDescent="0.2">
      <c r="A37" s="36" t="str">
        <v>P96</v>
      </c>
      <c r="B37" s="36" t="str">
        <v>Pendant-Y</v>
      </c>
      <c r="C37" s="36" t="str">
        <v>Pendant</v>
      </c>
      <c r="D37" s="36" t="str">
        <v>Gold</v>
      </c>
      <c r="E37" s="36">
        <v>1.1000000000000001</v>
      </c>
      <c r="F37" s="37">
        <v>45167</v>
      </c>
      <c r="G37" s="36">
        <v>56</v>
      </c>
      <c r="H37" s="37">
        <v>45178</v>
      </c>
      <c r="I37" s="36">
        <v>55.85960094</v>
      </c>
      <c r="J37" s="36">
        <v>0.14039906000000002</v>
      </c>
      <c r="K37" s="38">
        <v>2.507126071428572E-3</v>
      </c>
      <c r="L37" s="36" t="str">
        <v>Divya</v>
      </c>
    </row>
    <row r="38" spans="1:12" x14ac:dyDescent="0.2">
      <c r="A38" s="36" t="str">
        <v>P98</v>
      </c>
      <c r="B38" s="36" t="str">
        <v>Pendant-Y</v>
      </c>
      <c r="C38" s="36" t="str">
        <v>Pendant</v>
      </c>
      <c r="D38" s="36" t="str">
        <v>Gold</v>
      </c>
      <c r="E38" s="36">
        <v>0.8</v>
      </c>
      <c r="F38" s="37">
        <v>45167</v>
      </c>
      <c r="G38" s="36">
        <v>80</v>
      </c>
      <c r="H38" s="37">
        <v>45236</v>
      </c>
      <c r="I38" s="36">
        <v>40.625164320000003</v>
      </c>
      <c r="J38" s="36">
        <v>39.374835679999997</v>
      </c>
      <c r="K38" s="38">
        <v>0.49218544599999997</v>
      </c>
      <c r="L38" s="36" t="str">
        <v>Connie</v>
      </c>
    </row>
    <row r="39" spans="1:12" x14ac:dyDescent="0.2">
      <c r="A39" s="36" t="str">
        <v>T93</v>
      </c>
      <c r="B39" s="36" t="str">
        <v>Fancy Tops</v>
      </c>
      <c r="C39" s="36" t="str">
        <v>Ear Tops</v>
      </c>
      <c r="D39" s="36" t="str">
        <v>Gold</v>
      </c>
      <c r="E39" s="36">
        <v>1.1000000000000001</v>
      </c>
      <c r="F39" s="37">
        <v>45167</v>
      </c>
      <c r="G39" s="36">
        <v>110</v>
      </c>
      <c r="H39" s="37">
        <v>45589</v>
      </c>
      <c r="I39" s="36">
        <v>55.85960094</v>
      </c>
      <c r="J39" s="36">
        <v>54.14039906</v>
      </c>
      <c r="K39" s="38">
        <v>0.49218544600000003</v>
      </c>
      <c r="L39" s="36" t="str">
        <v>Shobha</v>
      </c>
    </row>
    <row r="40" spans="1:12" x14ac:dyDescent="0.2">
      <c r="A40" s="36" t="str">
        <v>T94</v>
      </c>
      <c r="B40" s="36" t="str">
        <v>Fancy Tops</v>
      </c>
      <c r="C40" s="36" t="str">
        <v>Ear Tops</v>
      </c>
      <c r="D40" s="36" t="str">
        <v>Gold</v>
      </c>
      <c r="E40" s="36">
        <v>1.4</v>
      </c>
      <c r="F40" s="37">
        <v>45167</v>
      </c>
      <c r="G40" s="36">
        <v>115</v>
      </c>
      <c r="H40" s="37">
        <v>45719</v>
      </c>
      <c r="I40" s="36">
        <v>71.09403755999999</v>
      </c>
      <c r="J40" s="36">
        <v>43.90596244000001</v>
      </c>
      <c r="K40" s="38">
        <v>0.38179097773913051</v>
      </c>
      <c r="L40" s="36" t="str">
        <v>Trish</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09129-BEFE-4241-ADE1-72D2E0F604C6}">
  <sheetPr codeName="Sheet2"/>
  <dimension ref="A1:B80"/>
  <sheetViews>
    <sheetView zoomScale="150" workbookViewId="0">
      <selection activeCell="H74" sqref="H74"/>
    </sheetView>
  </sheetViews>
  <sheetFormatPr baseColWidth="10" defaultRowHeight="16" x14ac:dyDescent="0.2"/>
  <cols>
    <col min="1" max="1" width="13" bestFit="1" customWidth="1"/>
    <col min="2" max="2" width="17.1640625" bestFit="1" customWidth="1"/>
  </cols>
  <sheetData>
    <row r="1" spans="1:2" x14ac:dyDescent="0.2">
      <c r="A1" s="52" t="s">
        <v>192</v>
      </c>
      <c r="B1" s="52"/>
    </row>
    <row r="3" spans="1:2" ht="17" x14ac:dyDescent="0.25">
      <c r="A3" s="6" t="s">
        <v>183</v>
      </c>
      <c r="B3" s="7">
        <f>COUNTA(Inventory[ProductID])</f>
        <v>111</v>
      </c>
    </row>
    <row r="4" spans="1:2" ht="17" x14ac:dyDescent="0.25">
      <c r="A4" s="6" t="s">
        <v>184</v>
      </c>
      <c r="B4" s="7">
        <f>COUNTIF(Inventory[StockStatus],"Sold")</f>
        <v>39</v>
      </c>
    </row>
    <row r="5" spans="1:2" ht="17" x14ac:dyDescent="0.25">
      <c r="A5" s="6" t="s">
        <v>185</v>
      </c>
      <c r="B5" s="7">
        <f>COUNTIF(Inventory[StockStatus],"In Stock")</f>
        <v>72</v>
      </c>
    </row>
    <row r="6" spans="1:2" ht="17" x14ac:dyDescent="0.25">
      <c r="A6" s="6" t="s">
        <v>186</v>
      </c>
      <c r="B6" s="7">
        <f>SUMIFS(Inventory[SellingPrice], Inventory[StockStatus], "Sold")</f>
        <v>6192</v>
      </c>
    </row>
    <row r="7" spans="1:2" ht="17" x14ac:dyDescent="0.25">
      <c r="A7" s="6" t="s">
        <v>187</v>
      </c>
      <c r="B7" s="7">
        <f>SUMIFS(Inventory[TotalCost], Inventory[StockStatus], "Sold")</f>
        <v>3643.3231938349991</v>
      </c>
    </row>
    <row r="8" spans="1:2" ht="17" x14ac:dyDescent="0.25">
      <c r="A8" s="6" t="s">
        <v>188</v>
      </c>
      <c r="B8" s="7">
        <f>SUMIFS(Inventory[GrossMargin], Inventory[StockStatus], "Sold")</f>
        <v>2548.6768061650005</v>
      </c>
    </row>
    <row r="9" spans="1:2" ht="17" x14ac:dyDescent="0.25">
      <c r="A9" s="6" t="s">
        <v>189</v>
      </c>
      <c r="B9" s="8">
        <f>AVERAGEIFS(Inventory[MarginPercent], Inventory[StockStatus], "Sold")</f>
        <v>0.40225020500239883</v>
      </c>
    </row>
    <row r="10" spans="1:2" ht="17" x14ac:dyDescent="0.25">
      <c r="A10" s="6" t="s">
        <v>190</v>
      </c>
      <c r="B10" s="7">
        <f ca="1">AVERAGEIFS(Inventory[DaysInInventory], Inventory[StockStatus], "Sold")</f>
        <v>195.38461538461539</v>
      </c>
    </row>
    <row r="11" spans="1:2" ht="17" x14ac:dyDescent="0.25">
      <c r="A11" s="6" t="s">
        <v>191</v>
      </c>
      <c r="B11" s="7">
        <f ca="1">AVERAGEIFS(Inventory[DaysInInventory], Inventory[StockStatus], "In Stock")</f>
        <v>736.11111111111109</v>
      </c>
    </row>
    <row r="12" spans="1:2" ht="17" x14ac:dyDescent="0.25">
      <c r="A12" s="11"/>
      <c r="B12" s="12"/>
    </row>
    <row r="14" spans="1:2" x14ac:dyDescent="0.2">
      <c r="A14" s="13" t="s">
        <v>181</v>
      </c>
      <c r="B14" s="14" t="s">
        <v>222</v>
      </c>
    </row>
    <row r="15" spans="1:2" x14ac:dyDescent="0.2">
      <c r="A15" s="14"/>
      <c r="B15" s="14"/>
    </row>
    <row r="16" spans="1:2" x14ac:dyDescent="0.2">
      <c r="A16" s="13" t="s">
        <v>193</v>
      </c>
      <c r="B16" s="14" t="s">
        <v>195</v>
      </c>
    </row>
    <row r="17" spans="1:2" x14ac:dyDescent="0.2">
      <c r="A17" s="15" t="s">
        <v>158</v>
      </c>
      <c r="B17" s="54">
        <v>5912</v>
      </c>
    </row>
    <row r="18" spans="1:2" x14ac:dyDescent="0.2">
      <c r="A18" s="15" t="s">
        <v>160</v>
      </c>
      <c r="B18" s="54">
        <v>280</v>
      </c>
    </row>
    <row r="19" spans="1:2" x14ac:dyDescent="0.2">
      <c r="A19" s="15" t="s">
        <v>194</v>
      </c>
      <c r="B19" s="54">
        <v>6192</v>
      </c>
    </row>
    <row r="24" spans="1:2" x14ac:dyDescent="0.2">
      <c r="A24" s="13" t="s">
        <v>181</v>
      </c>
      <c r="B24" s="14" t="s">
        <v>222</v>
      </c>
    </row>
    <row r="25" spans="1:2" x14ac:dyDescent="0.2">
      <c r="A25" s="14"/>
      <c r="B25" s="14"/>
    </row>
    <row r="26" spans="1:2" x14ac:dyDescent="0.2">
      <c r="A26" s="13" t="s">
        <v>193</v>
      </c>
      <c r="B26" s="14" t="s">
        <v>197</v>
      </c>
    </row>
    <row r="27" spans="1:2" x14ac:dyDescent="0.2">
      <c r="A27" s="15" t="s">
        <v>65</v>
      </c>
      <c r="B27" s="54">
        <v>20</v>
      </c>
    </row>
    <row r="28" spans="1:2" x14ac:dyDescent="0.2">
      <c r="A28" s="15" t="s">
        <v>1</v>
      </c>
      <c r="B28" s="54">
        <v>23</v>
      </c>
    </row>
    <row r="29" spans="1:2" x14ac:dyDescent="0.2">
      <c r="A29" s="15" t="s">
        <v>23</v>
      </c>
      <c r="B29" s="54">
        <v>27</v>
      </c>
    </row>
    <row r="30" spans="1:2" x14ac:dyDescent="0.2">
      <c r="A30" s="15" t="s">
        <v>149</v>
      </c>
      <c r="B30" s="54">
        <v>5</v>
      </c>
    </row>
    <row r="31" spans="1:2" x14ac:dyDescent="0.2">
      <c r="A31" s="15" t="s">
        <v>76</v>
      </c>
      <c r="B31" s="54">
        <v>18</v>
      </c>
    </row>
    <row r="32" spans="1:2" x14ac:dyDescent="0.2">
      <c r="A32" s="15" t="s">
        <v>91</v>
      </c>
      <c r="B32" s="54">
        <v>18</v>
      </c>
    </row>
    <row r="33" spans="1:2" x14ac:dyDescent="0.2">
      <c r="A33" s="15" t="s">
        <v>194</v>
      </c>
      <c r="B33" s="54">
        <v>111</v>
      </c>
    </row>
    <row r="39" spans="1:2" x14ac:dyDescent="0.2">
      <c r="A39" s="13" t="s">
        <v>181</v>
      </c>
      <c r="B39" s="14" t="s">
        <v>222</v>
      </c>
    </row>
    <row r="40" spans="1:2" x14ac:dyDescent="0.2">
      <c r="A40" s="14"/>
      <c r="B40" s="14"/>
    </row>
    <row r="41" spans="1:2" x14ac:dyDescent="0.2">
      <c r="A41" s="13" t="s">
        <v>207</v>
      </c>
      <c r="B41" s="14" t="s">
        <v>208</v>
      </c>
    </row>
    <row r="42" spans="1:2" x14ac:dyDescent="0.2">
      <c r="A42" s="15" t="s">
        <v>198</v>
      </c>
      <c r="B42" s="54">
        <v>250</v>
      </c>
    </row>
    <row r="43" spans="1:2" x14ac:dyDescent="0.2">
      <c r="A43" s="15" t="s">
        <v>199</v>
      </c>
      <c r="B43" s="54">
        <v>430</v>
      </c>
    </row>
    <row r="44" spans="1:2" x14ac:dyDescent="0.2">
      <c r="A44" s="15" t="s">
        <v>200</v>
      </c>
      <c r="B44" s="54">
        <v>180</v>
      </c>
    </row>
    <row r="45" spans="1:2" x14ac:dyDescent="0.2">
      <c r="A45" s="15" t="s">
        <v>201</v>
      </c>
      <c r="B45" s="54">
        <v>995</v>
      </c>
    </row>
    <row r="46" spans="1:2" x14ac:dyDescent="0.2">
      <c r="A46" s="15" t="s">
        <v>202</v>
      </c>
      <c r="B46" s="54">
        <v>2063</v>
      </c>
    </row>
    <row r="47" spans="1:2" x14ac:dyDescent="0.2">
      <c r="A47" s="15" t="s">
        <v>203</v>
      </c>
      <c r="B47" s="54">
        <v>309</v>
      </c>
    </row>
    <row r="48" spans="1:2" x14ac:dyDescent="0.2">
      <c r="A48" s="15" t="s">
        <v>204</v>
      </c>
      <c r="B48" s="54">
        <v>370</v>
      </c>
    </row>
    <row r="49" spans="1:2" x14ac:dyDescent="0.2">
      <c r="A49" s="15" t="s">
        <v>205</v>
      </c>
      <c r="B49" s="54">
        <v>360</v>
      </c>
    </row>
    <row r="50" spans="1:2" x14ac:dyDescent="0.2">
      <c r="A50" s="15" t="s">
        <v>206</v>
      </c>
      <c r="B50" s="54">
        <v>1235</v>
      </c>
    </row>
    <row r="51" spans="1:2" x14ac:dyDescent="0.2">
      <c r="A51" s="15" t="s">
        <v>194</v>
      </c>
      <c r="B51" s="54">
        <v>6192</v>
      </c>
    </row>
    <row r="57" spans="1:2" x14ac:dyDescent="0.2">
      <c r="A57" s="9" t="s">
        <v>181</v>
      </c>
      <c r="B57" t="s">
        <v>222</v>
      </c>
    </row>
    <row r="59" spans="1:2" x14ac:dyDescent="0.2">
      <c r="A59" s="9" t="s">
        <v>193</v>
      </c>
      <c r="B59" t="s">
        <v>209</v>
      </c>
    </row>
    <row r="60" spans="1:2" x14ac:dyDescent="0.2">
      <c r="A60" s="10" t="s">
        <v>65</v>
      </c>
      <c r="B60" s="53">
        <v>559.04999999999995</v>
      </c>
    </row>
    <row r="61" spans="1:2" x14ac:dyDescent="0.2">
      <c r="A61" s="10" t="s">
        <v>1</v>
      </c>
      <c r="B61" s="53">
        <v>525.56521739130437</v>
      </c>
    </row>
    <row r="62" spans="1:2" x14ac:dyDescent="0.2">
      <c r="A62" s="10" t="s">
        <v>23</v>
      </c>
      <c r="B62" s="53">
        <v>564.81481481481478</v>
      </c>
    </row>
    <row r="63" spans="1:2" x14ac:dyDescent="0.2">
      <c r="A63" s="10" t="s">
        <v>149</v>
      </c>
      <c r="B63" s="53">
        <v>617.79999999999995</v>
      </c>
    </row>
    <row r="64" spans="1:2" x14ac:dyDescent="0.2">
      <c r="A64" s="10" t="s">
        <v>76</v>
      </c>
      <c r="B64" s="53">
        <v>509.66666666666669</v>
      </c>
    </row>
    <row r="65" spans="1:2" x14ac:dyDescent="0.2">
      <c r="A65" s="10" t="s">
        <v>91</v>
      </c>
      <c r="B65" s="53">
        <v>546.55555555555554</v>
      </c>
    </row>
    <row r="66" spans="1:2" x14ac:dyDescent="0.2">
      <c r="A66" s="10" t="s">
        <v>194</v>
      </c>
      <c r="B66" s="53">
        <v>546.12612612612611</v>
      </c>
    </row>
    <row r="71" spans="1:2" x14ac:dyDescent="0.2">
      <c r="A71" s="9" t="s">
        <v>181</v>
      </c>
      <c r="B71" t="s">
        <v>196</v>
      </c>
    </row>
    <row r="73" spans="1:2" x14ac:dyDescent="0.2">
      <c r="A73" s="9" t="s">
        <v>193</v>
      </c>
      <c r="B73" t="s">
        <v>195</v>
      </c>
    </row>
    <row r="74" spans="1:2" x14ac:dyDescent="0.2">
      <c r="A74" s="10" t="s">
        <v>65</v>
      </c>
      <c r="B74" s="53">
        <v>575</v>
      </c>
    </row>
    <row r="75" spans="1:2" x14ac:dyDescent="0.2">
      <c r="A75" s="10" t="s">
        <v>1</v>
      </c>
      <c r="B75" s="53">
        <v>1976.75</v>
      </c>
    </row>
    <row r="76" spans="1:2" x14ac:dyDescent="0.2">
      <c r="A76" s="10" t="s">
        <v>23</v>
      </c>
      <c r="B76" s="53">
        <v>1885</v>
      </c>
    </row>
    <row r="77" spans="1:2" x14ac:dyDescent="0.2">
      <c r="A77" s="10" t="s">
        <v>149</v>
      </c>
      <c r="B77" s="53">
        <v>225</v>
      </c>
    </row>
    <row r="78" spans="1:2" x14ac:dyDescent="0.2">
      <c r="A78" s="10" t="s">
        <v>76</v>
      </c>
      <c r="B78" s="53">
        <v>620.25</v>
      </c>
    </row>
    <row r="79" spans="1:2" x14ac:dyDescent="0.2">
      <c r="A79" s="10" t="s">
        <v>91</v>
      </c>
      <c r="B79" s="53">
        <v>910</v>
      </c>
    </row>
    <row r="80" spans="1:2" x14ac:dyDescent="0.2">
      <c r="A80" s="10" t="s">
        <v>194</v>
      </c>
      <c r="B80" s="53">
        <v>6192</v>
      </c>
    </row>
  </sheetData>
  <mergeCells count="1">
    <mergeCell ref="A1:B1"/>
  </mergeCells>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F6F3E-6C1A-3343-91A4-E45A8032931F}">
  <dimension ref="A1:G89"/>
  <sheetViews>
    <sheetView zoomScale="150" workbookViewId="0">
      <selection activeCell="H75" sqref="H75"/>
    </sheetView>
  </sheetViews>
  <sheetFormatPr baseColWidth="10" defaultRowHeight="16" x14ac:dyDescent="0.2"/>
  <cols>
    <col min="1" max="1" width="18.5" customWidth="1"/>
    <col min="2" max="2" width="14.1640625" customWidth="1"/>
    <col min="3" max="3" width="13.33203125" customWidth="1"/>
    <col min="4" max="4" width="11.33203125" customWidth="1"/>
    <col min="6" max="6" width="14.6640625" customWidth="1"/>
    <col min="7" max="7" width="21.6640625" customWidth="1"/>
  </cols>
  <sheetData>
    <row r="1" spans="1:7" x14ac:dyDescent="0.2">
      <c r="A1" s="32" t="s">
        <v>223</v>
      </c>
    </row>
    <row r="2" spans="1:7" x14ac:dyDescent="0.2">
      <c r="A2" t="s">
        <v>212</v>
      </c>
      <c r="B2">
        <f>(147.27/24)*10</f>
        <v>61.362500000000004</v>
      </c>
    </row>
    <row r="3" spans="1:7" x14ac:dyDescent="0.2">
      <c r="A3" t="s">
        <v>213</v>
      </c>
      <c r="B3">
        <f>1689.53/1000</f>
        <v>1.68953</v>
      </c>
    </row>
    <row r="4" spans="1:7" x14ac:dyDescent="0.2">
      <c r="A4" t="s">
        <v>214</v>
      </c>
      <c r="B4" s="44">
        <v>1</v>
      </c>
    </row>
    <row r="6" spans="1:7" x14ac:dyDescent="0.2">
      <c r="A6" t="s">
        <v>216</v>
      </c>
      <c r="B6">
        <f>_xlfn.STDEV.S(PastPrices!D14:D582)</f>
        <v>10.6630717243389</v>
      </c>
    </row>
    <row r="7" spans="1:7" x14ac:dyDescent="0.2">
      <c r="A7" t="s">
        <v>217</v>
      </c>
      <c r="B7">
        <f>_xlfn.STDEV.S(PastPrices!L14:L212)</f>
        <v>0.24730628936116775</v>
      </c>
    </row>
    <row r="10" spans="1:7" x14ac:dyDescent="0.2">
      <c r="A10" s="32" t="s">
        <v>348</v>
      </c>
    </row>
    <row r="11" spans="1:7" x14ac:dyDescent="0.2">
      <c r="A11" s="32" t="s">
        <v>157</v>
      </c>
      <c r="B11" s="32" t="s">
        <v>0</v>
      </c>
      <c r="C11" s="32" t="s">
        <v>218</v>
      </c>
      <c r="D11" s="32" t="s">
        <v>210</v>
      </c>
      <c r="E11" s="32" t="s">
        <v>219</v>
      </c>
      <c r="F11" s="32" t="s">
        <v>220</v>
      </c>
      <c r="G11" s="32" t="s">
        <v>221</v>
      </c>
    </row>
    <row r="12" spans="1:7" x14ac:dyDescent="0.2">
      <c r="A12" s="22" t="s">
        <v>2</v>
      </c>
      <c r="B12" s="22" t="s">
        <v>1</v>
      </c>
      <c r="C12" s="22" t="s">
        <v>158</v>
      </c>
      <c r="D12" s="22">
        <v>13.9</v>
      </c>
      <c r="E12" s="22">
        <v>679.32656919500005</v>
      </c>
      <c r="F12" s="22">
        <v>1500</v>
      </c>
      <c r="G12" s="40">
        <f>D12*(1+$B$4)*($B$2-$B$6)</f>
        <v>1409.4441060633787</v>
      </c>
    </row>
    <row r="13" spans="1:7" x14ac:dyDescent="0.2">
      <c r="A13" s="22" t="s">
        <v>4</v>
      </c>
      <c r="B13" s="22" t="s">
        <v>1</v>
      </c>
      <c r="C13" s="22" t="s">
        <v>158</v>
      </c>
      <c r="D13" s="22">
        <v>12.6</v>
      </c>
      <c r="E13" s="22">
        <v>615.79242963000002</v>
      </c>
      <c r="F13" s="22">
        <v>1300</v>
      </c>
      <c r="G13" s="40">
        <f t="shared" ref="G13:G76" si="0">D13*(1+$B$4)*($B$2-$B$6)</f>
        <v>1277.6255925466598</v>
      </c>
    </row>
    <row r="14" spans="1:7" x14ac:dyDescent="0.2">
      <c r="A14" s="22" t="s">
        <v>6</v>
      </c>
      <c r="B14" s="22" t="s">
        <v>1</v>
      </c>
      <c r="C14" s="22" t="s">
        <v>158</v>
      </c>
      <c r="D14" s="22">
        <v>5.5</v>
      </c>
      <c r="E14" s="22">
        <v>268.79828277500002</v>
      </c>
      <c r="F14" s="22">
        <v>575</v>
      </c>
      <c r="G14" s="40">
        <f t="shared" si="0"/>
        <v>557.69371103227218</v>
      </c>
    </row>
    <row r="15" spans="1:7" x14ac:dyDescent="0.2">
      <c r="A15" s="22" t="s">
        <v>17</v>
      </c>
      <c r="B15" s="22" t="s">
        <v>1</v>
      </c>
      <c r="C15" s="22" t="s">
        <v>158</v>
      </c>
      <c r="D15" s="22">
        <v>2.2000000000000002</v>
      </c>
      <c r="E15" s="22">
        <v>107.51931311000001</v>
      </c>
      <c r="F15" s="22">
        <v>300</v>
      </c>
      <c r="G15" s="40">
        <f t="shared" si="0"/>
        <v>223.07748441290889</v>
      </c>
    </row>
    <row r="16" spans="1:7" x14ac:dyDescent="0.2">
      <c r="A16" s="22" t="s">
        <v>17</v>
      </c>
      <c r="B16" s="22" t="s">
        <v>1</v>
      </c>
      <c r="C16" s="22" t="s">
        <v>158</v>
      </c>
      <c r="D16" s="22">
        <v>2.2999999999999998</v>
      </c>
      <c r="E16" s="22">
        <v>112.40655461499999</v>
      </c>
      <c r="F16" s="22">
        <v>300</v>
      </c>
      <c r="G16" s="40">
        <f t="shared" si="0"/>
        <v>233.21737006804108</v>
      </c>
    </row>
    <row r="17" spans="1:7" x14ac:dyDescent="0.2">
      <c r="A17" s="22" t="s">
        <v>19</v>
      </c>
      <c r="B17" s="22" t="s">
        <v>1</v>
      </c>
      <c r="C17" s="22" t="s">
        <v>158</v>
      </c>
      <c r="D17" s="22">
        <v>2.1</v>
      </c>
      <c r="E17" s="22">
        <v>102.63207160500001</v>
      </c>
      <c r="F17" s="22">
        <v>275</v>
      </c>
      <c r="G17" s="40">
        <f t="shared" si="0"/>
        <v>212.93759875777664</v>
      </c>
    </row>
    <row r="18" spans="1:7" x14ac:dyDescent="0.2">
      <c r="A18" s="22" t="s">
        <v>24</v>
      </c>
      <c r="B18" s="22" t="s">
        <v>23</v>
      </c>
      <c r="C18" s="22" t="s">
        <v>158</v>
      </c>
      <c r="D18" s="22">
        <v>2.2999999999999998</v>
      </c>
      <c r="E18" s="22">
        <v>112.40655461499999</v>
      </c>
      <c r="F18" s="22">
        <v>200</v>
      </c>
      <c r="G18" s="40">
        <f t="shared" si="0"/>
        <v>233.21737006804108</v>
      </c>
    </row>
    <row r="19" spans="1:7" x14ac:dyDescent="0.2">
      <c r="A19" s="22" t="s">
        <v>24</v>
      </c>
      <c r="B19" s="22" t="s">
        <v>23</v>
      </c>
      <c r="C19" s="22" t="s">
        <v>158</v>
      </c>
      <c r="D19" s="22">
        <v>2.5</v>
      </c>
      <c r="E19" s="22">
        <v>122.181037625</v>
      </c>
      <c r="F19" s="22">
        <v>225</v>
      </c>
      <c r="G19" s="40">
        <f t="shared" si="0"/>
        <v>253.49714137830551</v>
      </c>
    </row>
    <row r="20" spans="1:7" x14ac:dyDescent="0.2">
      <c r="A20" s="22" t="s">
        <v>24</v>
      </c>
      <c r="B20" s="22" t="s">
        <v>23</v>
      </c>
      <c r="C20" s="22" t="s">
        <v>158</v>
      </c>
      <c r="D20" s="22">
        <v>1.7</v>
      </c>
      <c r="E20" s="22">
        <v>83.083105584999998</v>
      </c>
      <c r="F20" s="22">
        <v>150</v>
      </c>
      <c r="G20" s="40">
        <f t="shared" si="0"/>
        <v>172.37805613724777</v>
      </c>
    </row>
    <row r="21" spans="1:7" x14ac:dyDescent="0.2">
      <c r="A21" s="22" t="s">
        <v>24</v>
      </c>
      <c r="B21" s="22" t="s">
        <v>23</v>
      </c>
      <c r="C21" s="22" t="s">
        <v>158</v>
      </c>
      <c r="D21" s="22">
        <v>1.7</v>
      </c>
      <c r="E21" s="22">
        <v>83.083105584999998</v>
      </c>
      <c r="F21" s="22">
        <v>180</v>
      </c>
      <c r="G21" s="40">
        <f t="shared" si="0"/>
        <v>172.37805613724777</v>
      </c>
    </row>
    <row r="22" spans="1:7" x14ac:dyDescent="0.2">
      <c r="A22" s="22" t="s">
        <v>24</v>
      </c>
      <c r="B22" s="22" t="s">
        <v>23</v>
      </c>
      <c r="C22" s="22" t="s">
        <v>158</v>
      </c>
      <c r="D22" s="22">
        <v>2.2999999999999998</v>
      </c>
      <c r="E22" s="22">
        <v>112.40655461499999</v>
      </c>
      <c r="F22" s="22">
        <v>200</v>
      </c>
      <c r="G22" s="40">
        <f t="shared" si="0"/>
        <v>233.21737006804108</v>
      </c>
    </row>
    <row r="23" spans="1:7" x14ac:dyDescent="0.2">
      <c r="A23" s="22" t="s">
        <v>24</v>
      </c>
      <c r="B23" s="22" t="s">
        <v>23</v>
      </c>
      <c r="C23" s="22" t="s">
        <v>158</v>
      </c>
      <c r="D23" s="22">
        <v>2.2999999999999998</v>
      </c>
      <c r="E23" s="22">
        <v>112.40655461499999</v>
      </c>
      <c r="F23" s="22">
        <v>200</v>
      </c>
      <c r="G23" s="40">
        <f t="shared" si="0"/>
        <v>233.21737006804108</v>
      </c>
    </row>
    <row r="24" spans="1:7" x14ac:dyDescent="0.2">
      <c r="A24" s="22" t="s">
        <v>24</v>
      </c>
      <c r="B24" s="22" t="s">
        <v>23</v>
      </c>
      <c r="C24" s="22" t="s">
        <v>158</v>
      </c>
      <c r="D24" s="22">
        <v>1.7</v>
      </c>
      <c r="E24" s="22">
        <v>83.083105584999998</v>
      </c>
      <c r="F24" s="22">
        <v>180</v>
      </c>
      <c r="G24" s="40">
        <f t="shared" si="0"/>
        <v>172.37805613724777</v>
      </c>
    </row>
    <row r="25" spans="1:7" x14ac:dyDescent="0.2">
      <c r="A25" s="22" t="s">
        <v>24</v>
      </c>
      <c r="B25" s="22" t="s">
        <v>23</v>
      </c>
      <c r="C25" s="22" t="s">
        <v>158</v>
      </c>
      <c r="D25" s="22">
        <v>1.7</v>
      </c>
      <c r="E25" s="22">
        <v>83.083105584999998</v>
      </c>
      <c r="F25" s="22">
        <v>180</v>
      </c>
      <c r="G25" s="40">
        <f t="shared" si="0"/>
        <v>172.37805613724777</v>
      </c>
    </row>
    <row r="26" spans="1:7" x14ac:dyDescent="0.2">
      <c r="A26" s="22" t="s">
        <v>24</v>
      </c>
      <c r="B26" s="22" t="s">
        <v>23</v>
      </c>
      <c r="C26" s="22" t="s">
        <v>158</v>
      </c>
      <c r="D26" s="22">
        <v>4.3</v>
      </c>
      <c r="E26" s="22">
        <v>210.15138471500001</v>
      </c>
      <c r="F26" s="22">
        <v>350</v>
      </c>
      <c r="G26" s="40">
        <f t="shared" si="0"/>
        <v>436.0150831706855</v>
      </c>
    </row>
    <row r="27" spans="1:7" x14ac:dyDescent="0.2">
      <c r="A27" s="22" t="s">
        <v>24</v>
      </c>
      <c r="B27" s="22" t="s">
        <v>23</v>
      </c>
      <c r="C27" s="22" t="s">
        <v>158</v>
      </c>
      <c r="D27" s="22">
        <v>2.2999999999999998</v>
      </c>
      <c r="E27" s="22">
        <v>112.40655461499999</v>
      </c>
      <c r="F27" s="22">
        <v>225</v>
      </c>
      <c r="G27" s="40">
        <f t="shared" si="0"/>
        <v>233.21737006804108</v>
      </c>
    </row>
    <row r="28" spans="1:7" x14ac:dyDescent="0.2">
      <c r="A28" s="22" t="s">
        <v>24</v>
      </c>
      <c r="B28" s="22" t="s">
        <v>23</v>
      </c>
      <c r="C28" s="22" t="s">
        <v>158</v>
      </c>
      <c r="D28" s="22">
        <v>2.4</v>
      </c>
      <c r="E28" s="22">
        <v>117.29379612</v>
      </c>
      <c r="F28" s="22">
        <v>225</v>
      </c>
      <c r="G28" s="40">
        <f t="shared" si="0"/>
        <v>243.3572557231733</v>
      </c>
    </row>
    <row r="29" spans="1:7" x14ac:dyDescent="0.2">
      <c r="A29" s="22" t="s">
        <v>24</v>
      </c>
      <c r="B29" s="22" t="s">
        <v>23</v>
      </c>
      <c r="C29" s="22" t="s">
        <v>158</v>
      </c>
      <c r="D29" s="22">
        <v>3</v>
      </c>
      <c r="E29" s="22">
        <v>146.61724515</v>
      </c>
      <c r="F29" s="22">
        <v>240</v>
      </c>
      <c r="G29" s="40">
        <f t="shared" si="0"/>
        <v>304.19656965396666</v>
      </c>
    </row>
    <row r="30" spans="1:7" x14ac:dyDescent="0.2">
      <c r="A30" s="22" t="s">
        <v>24</v>
      </c>
      <c r="B30" s="22" t="s">
        <v>23</v>
      </c>
      <c r="C30" s="22" t="s">
        <v>158</v>
      </c>
      <c r="D30" s="22">
        <v>1.3</v>
      </c>
      <c r="E30" s="22">
        <v>63.534139565000004</v>
      </c>
      <c r="F30" s="22">
        <v>130</v>
      </c>
      <c r="G30" s="40">
        <f t="shared" si="0"/>
        <v>131.81851351671887</v>
      </c>
    </row>
    <row r="31" spans="1:7" x14ac:dyDescent="0.2">
      <c r="A31" s="22" t="s">
        <v>24</v>
      </c>
      <c r="B31" s="22" t="s">
        <v>23</v>
      </c>
      <c r="C31" s="22" t="s">
        <v>158</v>
      </c>
      <c r="D31" s="22">
        <v>1.3</v>
      </c>
      <c r="E31" s="22">
        <v>63.534139565000004</v>
      </c>
      <c r="F31" s="22">
        <v>130</v>
      </c>
      <c r="G31" s="40">
        <f t="shared" si="0"/>
        <v>131.81851351671887</v>
      </c>
    </row>
    <row r="32" spans="1:7" x14ac:dyDescent="0.2">
      <c r="A32" s="22" t="s">
        <v>24</v>
      </c>
      <c r="B32" s="22" t="s">
        <v>23</v>
      </c>
      <c r="C32" s="22" t="s">
        <v>158</v>
      </c>
      <c r="D32" s="22">
        <v>1.3</v>
      </c>
      <c r="E32" s="22">
        <v>63.534139565000004</v>
      </c>
      <c r="F32" s="22">
        <v>130</v>
      </c>
      <c r="G32" s="40">
        <f t="shared" si="0"/>
        <v>131.81851351671887</v>
      </c>
    </row>
    <row r="33" spans="1:7" x14ac:dyDescent="0.2">
      <c r="A33" s="22" t="s">
        <v>2</v>
      </c>
      <c r="B33" s="22" t="s">
        <v>1</v>
      </c>
      <c r="C33" s="22" t="s">
        <v>158</v>
      </c>
      <c r="D33" s="22">
        <v>6.3</v>
      </c>
      <c r="E33" s="22">
        <v>320.51759480999999</v>
      </c>
      <c r="F33" s="22">
        <v>595</v>
      </c>
      <c r="G33" s="40">
        <f t="shared" si="0"/>
        <v>638.81279627332992</v>
      </c>
    </row>
    <row r="34" spans="1:7" x14ac:dyDescent="0.2">
      <c r="A34" s="22" t="s">
        <v>2</v>
      </c>
      <c r="B34" s="22" t="s">
        <v>1</v>
      </c>
      <c r="C34" s="22" t="s">
        <v>158</v>
      </c>
      <c r="D34" s="22">
        <v>9.4</v>
      </c>
      <c r="E34" s="22">
        <v>478.23260178000004</v>
      </c>
      <c r="F34" s="22">
        <v>900</v>
      </c>
      <c r="G34" s="40">
        <f t="shared" si="0"/>
        <v>953.14925158242886</v>
      </c>
    </row>
    <row r="35" spans="1:7" x14ac:dyDescent="0.2">
      <c r="A35" s="22" t="s">
        <v>17</v>
      </c>
      <c r="B35" s="22" t="s">
        <v>1</v>
      </c>
      <c r="C35" s="26" t="s">
        <v>158</v>
      </c>
      <c r="D35" s="22">
        <v>4.0999999999999996</v>
      </c>
      <c r="E35" s="22">
        <v>208.59081566999998</v>
      </c>
      <c r="F35" s="22">
        <v>370</v>
      </c>
      <c r="G35" s="40">
        <f t="shared" si="0"/>
        <v>415.73531186042101</v>
      </c>
    </row>
    <row r="36" spans="1:7" x14ac:dyDescent="0.2">
      <c r="A36" s="22" t="s">
        <v>19</v>
      </c>
      <c r="B36" s="22" t="s">
        <v>1</v>
      </c>
      <c r="C36" s="26" t="s">
        <v>160</v>
      </c>
      <c r="D36" s="22">
        <v>1.3</v>
      </c>
      <c r="E36" s="22">
        <v>66.138551309999997</v>
      </c>
      <c r="F36" s="22">
        <v>145</v>
      </c>
      <c r="G36" s="40">
        <f t="shared" si="0"/>
        <v>131.81851351671887</v>
      </c>
    </row>
    <row r="37" spans="1:7" x14ac:dyDescent="0.2">
      <c r="A37" s="22" t="s">
        <v>19</v>
      </c>
      <c r="B37" s="22" t="s">
        <v>1</v>
      </c>
      <c r="C37" s="22" t="s">
        <v>158</v>
      </c>
      <c r="D37" s="22">
        <v>2.8</v>
      </c>
      <c r="E37" s="22">
        <v>142.45226435999999</v>
      </c>
      <c r="F37" s="22">
        <v>255</v>
      </c>
      <c r="G37" s="40">
        <f t="shared" si="0"/>
        <v>283.91679834370217</v>
      </c>
    </row>
    <row r="38" spans="1:7" x14ac:dyDescent="0.2">
      <c r="A38" s="22" t="s">
        <v>17</v>
      </c>
      <c r="B38" s="22" t="s">
        <v>1</v>
      </c>
      <c r="C38" s="26" t="s">
        <v>158</v>
      </c>
      <c r="D38" s="22">
        <v>4.2</v>
      </c>
      <c r="E38" s="22">
        <v>213.67839654000002</v>
      </c>
      <c r="F38" s="22">
        <v>395</v>
      </c>
      <c r="G38" s="40">
        <f t="shared" si="0"/>
        <v>425.87519751555328</v>
      </c>
    </row>
    <row r="39" spans="1:7" x14ac:dyDescent="0.2">
      <c r="A39" s="22" t="s">
        <v>19</v>
      </c>
      <c r="B39" s="22" t="s">
        <v>1</v>
      </c>
      <c r="C39" s="22" t="s">
        <v>158</v>
      </c>
      <c r="D39" s="22">
        <v>6.3</v>
      </c>
      <c r="E39" s="22">
        <v>320.51759480999999</v>
      </c>
      <c r="F39" s="22">
        <v>575</v>
      </c>
      <c r="G39" s="40">
        <f t="shared" si="0"/>
        <v>638.81279627332992</v>
      </c>
    </row>
    <row r="40" spans="1:7" x14ac:dyDescent="0.2">
      <c r="A40" s="22" t="s">
        <v>72</v>
      </c>
      <c r="B40" s="22" t="s">
        <v>65</v>
      </c>
      <c r="C40" s="22" t="s">
        <v>158</v>
      </c>
      <c r="D40" s="22">
        <v>3.8</v>
      </c>
      <c r="E40" s="22">
        <v>193.32807305999998</v>
      </c>
      <c r="F40" s="22">
        <v>345</v>
      </c>
      <c r="G40" s="40">
        <f t="shared" si="0"/>
        <v>385.31565489502441</v>
      </c>
    </row>
    <row r="41" spans="1:7" x14ac:dyDescent="0.2">
      <c r="A41" s="22" t="s">
        <v>72</v>
      </c>
      <c r="B41" s="22" t="s">
        <v>65</v>
      </c>
      <c r="C41" s="22" t="s">
        <v>158</v>
      </c>
      <c r="D41" s="22">
        <v>9.1999999999999993</v>
      </c>
      <c r="E41" s="22">
        <v>468.05744003999996</v>
      </c>
      <c r="F41" s="22">
        <v>695</v>
      </c>
      <c r="G41" s="40">
        <f t="shared" si="0"/>
        <v>932.86948027216431</v>
      </c>
    </row>
    <row r="42" spans="1:7" x14ac:dyDescent="0.2">
      <c r="A42" s="22" t="s">
        <v>72</v>
      </c>
      <c r="B42" s="22" t="s">
        <v>65</v>
      </c>
      <c r="C42" s="22" t="s">
        <v>158</v>
      </c>
      <c r="D42" s="22">
        <v>6.2</v>
      </c>
      <c r="E42" s="22">
        <v>315.43001394000004</v>
      </c>
      <c r="F42" s="22">
        <v>575</v>
      </c>
      <c r="G42" s="40">
        <f t="shared" si="0"/>
        <v>628.67291061819776</v>
      </c>
    </row>
    <row r="43" spans="1:7" x14ac:dyDescent="0.2">
      <c r="A43" s="22" t="s">
        <v>76</v>
      </c>
      <c r="B43" s="22" t="s">
        <v>76</v>
      </c>
      <c r="C43" s="22" t="s">
        <v>158</v>
      </c>
      <c r="D43" s="22">
        <v>1.2</v>
      </c>
      <c r="E43" s="22">
        <v>61.05097044</v>
      </c>
      <c r="F43" s="22">
        <v>115</v>
      </c>
      <c r="G43" s="40">
        <f t="shared" si="0"/>
        <v>121.67862786158665</v>
      </c>
    </row>
    <row r="44" spans="1:7" x14ac:dyDescent="0.2">
      <c r="A44" s="22" t="s">
        <v>76</v>
      </c>
      <c r="B44" s="22" t="s">
        <v>76</v>
      </c>
      <c r="C44" s="22" t="s">
        <v>158</v>
      </c>
      <c r="D44" s="22">
        <v>0.5</v>
      </c>
      <c r="E44" s="22">
        <v>25.43790435</v>
      </c>
      <c r="F44" s="22">
        <v>50</v>
      </c>
      <c r="G44" s="40">
        <f t="shared" si="0"/>
        <v>50.699428275661106</v>
      </c>
    </row>
    <row r="45" spans="1:7" x14ac:dyDescent="0.2">
      <c r="A45" s="22" t="s">
        <v>76</v>
      </c>
      <c r="B45" s="22" t="s">
        <v>76</v>
      </c>
      <c r="C45" s="22" t="s">
        <v>158</v>
      </c>
      <c r="D45" s="22">
        <v>1.6</v>
      </c>
      <c r="E45" s="22">
        <v>81.401293920000001</v>
      </c>
      <c r="F45" s="22">
        <v>145</v>
      </c>
      <c r="G45" s="40">
        <f t="shared" si="0"/>
        <v>162.23817048211555</v>
      </c>
    </row>
    <row r="46" spans="1:7" x14ac:dyDescent="0.2">
      <c r="A46" s="22" t="s">
        <v>76</v>
      </c>
      <c r="B46" s="22" t="s">
        <v>76</v>
      </c>
      <c r="C46" s="22" t="s">
        <v>158</v>
      </c>
      <c r="D46" s="22">
        <v>1.7</v>
      </c>
      <c r="E46" s="22">
        <v>86.488874789999997</v>
      </c>
      <c r="F46" s="22">
        <v>155</v>
      </c>
      <c r="G46" s="40">
        <f t="shared" si="0"/>
        <v>172.37805613724777</v>
      </c>
    </row>
    <row r="47" spans="1:7" x14ac:dyDescent="0.2">
      <c r="A47" s="22" t="s">
        <v>76</v>
      </c>
      <c r="B47" s="22" t="s">
        <v>76</v>
      </c>
      <c r="C47" s="22" t="s">
        <v>158</v>
      </c>
      <c r="D47" s="22">
        <v>1.9</v>
      </c>
      <c r="E47" s="22">
        <v>96.66403652999999</v>
      </c>
      <c r="F47" s="22">
        <v>175</v>
      </c>
      <c r="G47" s="40">
        <f t="shared" si="0"/>
        <v>192.6578274475122</v>
      </c>
    </row>
    <row r="48" spans="1:7" x14ac:dyDescent="0.2">
      <c r="A48" s="22" t="s">
        <v>76</v>
      </c>
      <c r="B48" s="22" t="s">
        <v>76</v>
      </c>
      <c r="C48" s="22" t="s">
        <v>158</v>
      </c>
      <c r="D48" s="22">
        <v>2</v>
      </c>
      <c r="E48" s="22">
        <v>101.7516174</v>
      </c>
      <c r="F48" s="22">
        <v>200</v>
      </c>
      <c r="G48" s="40">
        <f t="shared" si="0"/>
        <v>202.79771310264442</v>
      </c>
    </row>
    <row r="49" spans="1:7" x14ac:dyDescent="0.2">
      <c r="A49" s="22" t="s">
        <v>91</v>
      </c>
      <c r="B49" s="22" t="s">
        <v>91</v>
      </c>
      <c r="C49" s="22" t="s">
        <v>158</v>
      </c>
      <c r="D49" s="22">
        <v>1.5</v>
      </c>
      <c r="E49" s="22">
        <v>76.313713050000004</v>
      </c>
      <c r="F49" s="22">
        <v>150</v>
      </c>
      <c r="G49" s="40">
        <f t="shared" si="0"/>
        <v>152.09828482698333</v>
      </c>
    </row>
    <row r="50" spans="1:7" x14ac:dyDescent="0.2">
      <c r="A50" s="22" t="s">
        <v>91</v>
      </c>
      <c r="B50" s="22" t="s">
        <v>91</v>
      </c>
      <c r="C50" s="22" t="s">
        <v>158</v>
      </c>
      <c r="D50" s="22">
        <v>4.2</v>
      </c>
      <c r="E50" s="22">
        <v>213.67839654000002</v>
      </c>
      <c r="F50" s="22">
        <v>375</v>
      </c>
      <c r="G50" s="40">
        <f t="shared" si="0"/>
        <v>425.87519751555328</v>
      </c>
    </row>
    <row r="51" spans="1:7" x14ac:dyDescent="0.2">
      <c r="A51" s="22" t="s">
        <v>91</v>
      </c>
      <c r="B51" s="22" t="s">
        <v>91</v>
      </c>
      <c r="C51" s="22" t="s">
        <v>158</v>
      </c>
      <c r="D51" s="22">
        <v>2.9</v>
      </c>
      <c r="E51" s="22">
        <v>147.53984523</v>
      </c>
      <c r="F51" s="22">
        <v>275</v>
      </c>
      <c r="G51" s="40">
        <f t="shared" si="0"/>
        <v>294.05668399883439</v>
      </c>
    </row>
    <row r="52" spans="1:7" x14ac:dyDescent="0.2">
      <c r="A52" s="22" t="s">
        <v>91</v>
      </c>
      <c r="B52" s="22" t="s">
        <v>91</v>
      </c>
      <c r="C52" s="22" t="s">
        <v>158</v>
      </c>
      <c r="D52" s="22">
        <v>2</v>
      </c>
      <c r="E52" s="22">
        <v>101.7516174</v>
      </c>
      <c r="F52" s="22">
        <v>225</v>
      </c>
      <c r="G52" s="40">
        <f t="shared" si="0"/>
        <v>202.79771310264442</v>
      </c>
    </row>
    <row r="53" spans="1:7" x14ac:dyDescent="0.2">
      <c r="A53" s="22" t="s">
        <v>91</v>
      </c>
      <c r="B53" s="22" t="s">
        <v>91</v>
      </c>
      <c r="C53" s="22" t="s">
        <v>158</v>
      </c>
      <c r="D53" s="22">
        <v>3.6</v>
      </c>
      <c r="E53" s="22">
        <v>183.15291132000002</v>
      </c>
      <c r="F53" s="22">
        <v>325</v>
      </c>
      <c r="G53" s="40">
        <f t="shared" si="0"/>
        <v>365.03588358475997</v>
      </c>
    </row>
    <row r="54" spans="1:7" x14ac:dyDescent="0.2">
      <c r="A54" s="22" t="s">
        <v>91</v>
      </c>
      <c r="B54" s="22" t="s">
        <v>91</v>
      </c>
      <c r="C54" s="22" t="s">
        <v>158</v>
      </c>
      <c r="D54" s="22">
        <v>3.3</v>
      </c>
      <c r="E54" s="22">
        <v>167.89016870999998</v>
      </c>
      <c r="F54" s="22">
        <v>360</v>
      </c>
      <c r="G54" s="40">
        <f t="shared" si="0"/>
        <v>334.61622661936326</v>
      </c>
    </row>
    <row r="55" spans="1:7" x14ac:dyDescent="0.2">
      <c r="A55" s="22" t="s">
        <v>91</v>
      </c>
      <c r="B55" s="22" t="s">
        <v>91</v>
      </c>
      <c r="C55" s="22" t="s">
        <v>158</v>
      </c>
      <c r="D55" s="22">
        <v>3.1</v>
      </c>
      <c r="E55" s="22">
        <v>157.71500697000002</v>
      </c>
      <c r="F55" s="22">
        <v>280</v>
      </c>
      <c r="G55" s="40">
        <f t="shared" si="0"/>
        <v>314.33645530909888</v>
      </c>
    </row>
    <row r="56" spans="1:7" x14ac:dyDescent="0.2">
      <c r="A56" s="22" t="s">
        <v>91</v>
      </c>
      <c r="B56" s="22" t="s">
        <v>91</v>
      </c>
      <c r="C56" s="22" t="s">
        <v>158</v>
      </c>
      <c r="D56" s="22">
        <v>2.8</v>
      </c>
      <c r="E56" s="22">
        <v>142.18807511999998</v>
      </c>
      <c r="F56" s="22">
        <v>265</v>
      </c>
      <c r="G56" s="40">
        <f t="shared" si="0"/>
        <v>283.91679834370217</v>
      </c>
    </row>
    <row r="57" spans="1:7" x14ac:dyDescent="0.2">
      <c r="A57" s="22" t="s">
        <v>91</v>
      </c>
      <c r="B57" s="22" t="s">
        <v>91</v>
      </c>
      <c r="C57" s="22" t="s">
        <v>158</v>
      </c>
      <c r="D57" s="22">
        <v>1.2</v>
      </c>
      <c r="E57" s="22">
        <v>60.937746479999994</v>
      </c>
      <c r="F57" s="22">
        <v>120</v>
      </c>
      <c r="G57" s="40">
        <f t="shared" si="0"/>
        <v>121.67862786158665</v>
      </c>
    </row>
    <row r="58" spans="1:7" x14ac:dyDescent="0.2">
      <c r="A58" s="22" t="s">
        <v>91</v>
      </c>
      <c r="B58" s="22" t="s">
        <v>91</v>
      </c>
      <c r="C58" s="22" t="s">
        <v>158</v>
      </c>
      <c r="D58" s="22">
        <v>2.6</v>
      </c>
      <c r="E58" s="22">
        <v>132.03178403999999</v>
      </c>
      <c r="F58" s="22">
        <v>260</v>
      </c>
      <c r="G58" s="40">
        <f t="shared" si="0"/>
        <v>263.63702703343773</v>
      </c>
    </row>
    <row r="59" spans="1:7" x14ac:dyDescent="0.2">
      <c r="A59" s="22" t="s">
        <v>91</v>
      </c>
      <c r="B59" s="22" t="s">
        <v>91</v>
      </c>
      <c r="C59" s="22" t="s">
        <v>158</v>
      </c>
      <c r="D59" s="22">
        <v>2.8</v>
      </c>
      <c r="E59" s="22">
        <v>142.18807511999998</v>
      </c>
      <c r="F59" s="22">
        <v>295</v>
      </c>
      <c r="G59" s="40">
        <f t="shared" si="0"/>
        <v>283.91679834370217</v>
      </c>
    </row>
    <row r="60" spans="1:7" x14ac:dyDescent="0.2">
      <c r="A60" s="22" t="s">
        <v>91</v>
      </c>
      <c r="B60" s="22" t="s">
        <v>91</v>
      </c>
      <c r="C60" s="22" t="s">
        <v>158</v>
      </c>
      <c r="D60" s="22">
        <v>2</v>
      </c>
      <c r="E60" s="22">
        <v>101.5629108</v>
      </c>
      <c r="F60" s="22">
        <v>200</v>
      </c>
      <c r="G60" s="40">
        <f t="shared" si="0"/>
        <v>202.79771310264442</v>
      </c>
    </row>
    <row r="61" spans="1:7" x14ac:dyDescent="0.2">
      <c r="A61" s="22" t="s">
        <v>91</v>
      </c>
      <c r="B61" s="22" t="s">
        <v>91</v>
      </c>
      <c r="C61" s="22" t="s">
        <v>158</v>
      </c>
      <c r="D61" s="22">
        <v>1.8</v>
      </c>
      <c r="E61" s="22">
        <v>91.406619719999995</v>
      </c>
      <c r="F61" s="22">
        <v>180</v>
      </c>
      <c r="G61" s="40">
        <f t="shared" si="0"/>
        <v>182.51794179237999</v>
      </c>
    </row>
    <row r="62" spans="1:7" x14ac:dyDescent="0.2">
      <c r="A62" s="22" t="s">
        <v>113</v>
      </c>
      <c r="B62" s="22" t="s">
        <v>65</v>
      </c>
      <c r="C62" s="22" t="s">
        <v>158</v>
      </c>
      <c r="D62" s="22">
        <v>4.7</v>
      </c>
      <c r="E62" s="22">
        <v>238.67284038</v>
      </c>
      <c r="F62" s="22">
        <v>410</v>
      </c>
      <c r="G62" s="40">
        <f t="shared" si="0"/>
        <v>476.57462579121443</v>
      </c>
    </row>
    <row r="63" spans="1:7" x14ac:dyDescent="0.2">
      <c r="A63" s="22" t="s">
        <v>115</v>
      </c>
      <c r="B63" s="22" t="s">
        <v>65</v>
      </c>
      <c r="C63" s="22" t="s">
        <v>160</v>
      </c>
      <c r="D63" s="22">
        <v>4.7</v>
      </c>
      <c r="E63" s="22">
        <v>238.67284038</v>
      </c>
      <c r="F63" s="22">
        <v>410</v>
      </c>
      <c r="G63" s="40">
        <f t="shared" si="0"/>
        <v>476.57462579121443</v>
      </c>
    </row>
    <row r="64" spans="1:7" x14ac:dyDescent="0.2">
      <c r="A64" s="22" t="s">
        <v>117</v>
      </c>
      <c r="B64" s="22" t="s">
        <v>65</v>
      </c>
      <c r="C64" s="22" t="s">
        <v>158</v>
      </c>
      <c r="D64" s="22">
        <v>1.2</v>
      </c>
      <c r="E64" s="22">
        <v>60.937746479999994</v>
      </c>
      <c r="F64" s="22">
        <v>125</v>
      </c>
      <c r="G64" s="40">
        <f t="shared" si="0"/>
        <v>121.67862786158665</v>
      </c>
    </row>
    <row r="65" spans="1:7" x14ac:dyDescent="0.2">
      <c r="A65" s="22" t="s">
        <v>119</v>
      </c>
      <c r="B65" s="22" t="s">
        <v>65</v>
      </c>
      <c r="C65" s="22" t="s">
        <v>158</v>
      </c>
      <c r="D65" s="22">
        <v>1.3</v>
      </c>
      <c r="E65" s="22">
        <v>66.015892019999995</v>
      </c>
      <c r="F65" s="22">
        <v>125</v>
      </c>
      <c r="G65" s="40">
        <f t="shared" si="0"/>
        <v>131.81851351671887</v>
      </c>
    </row>
    <row r="66" spans="1:7" x14ac:dyDescent="0.2">
      <c r="A66" s="22" t="s">
        <v>113</v>
      </c>
      <c r="B66" s="22" t="s">
        <v>65</v>
      </c>
      <c r="C66" s="22" t="s">
        <v>158</v>
      </c>
      <c r="D66" s="22">
        <v>1.4</v>
      </c>
      <c r="E66" s="22">
        <v>71.09403755999999</v>
      </c>
      <c r="F66" s="22">
        <v>145</v>
      </c>
      <c r="G66" s="40">
        <f t="shared" si="0"/>
        <v>141.95839917185108</v>
      </c>
    </row>
    <row r="67" spans="1:7" x14ac:dyDescent="0.2">
      <c r="A67" s="22" t="s">
        <v>115</v>
      </c>
      <c r="B67" s="22" t="s">
        <v>65</v>
      </c>
      <c r="C67" s="22" t="s">
        <v>160</v>
      </c>
      <c r="D67" s="22">
        <v>1.4</v>
      </c>
      <c r="E67" s="22">
        <v>71.09403755999999</v>
      </c>
      <c r="F67" s="22">
        <v>145</v>
      </c>
      <c r="G67" s="40">
        <f t="shared" si="0"/>
        <v>141.95839917185108</v>
      </c>
    </row>
    <row r="68" spans="1:7" x14ac:dyDescent="0.2">
      <c r="A68" s="22" t="s">
        <v>127</v>
      </c>
      <c r="B68" s="22" t="s">
        <v>65</v>
      </c>
      <c r="C68" s="22" t="s">
        <v>160</v>
      </c>
      <c r="D68" s="22">
        <v>9.1999999999999993</v>
      </c>
      <c r="E68" s="22">
        <v>467.18938967999998</v>
      </c>
      <c r="F68" s="22">
        <v>775</v>
      </c>
      <c r="G68" s="40">
        <f t="shared" si="0"/>
        <v>932.86948027216431</v>
      </c>
    </row>
    <row r="69" spans="1:7" x14ac:dyDescent="0.2">
      <c r="A69" s="22" t="s">
        <v>127</v>
      </c>
      <c r="B69" s="22" t="s">
        <v>65</v>
      </c>
      <c r="C69" s="22" t="s">
        <v>160</v>
      </c>
      <c r="D69" s="22">
        <v>6.4</v>
      </c>
      <c r="E69" s="22">
        <v>325.00131456000003</v>
      </c>
      <c r="F69" s="22">
        <v>575</v>
      </c>
      <c r="G69" s="40">
        <f t="shared" si="0"/>
        <v>648.9526819284622</v>
      </c>
    </row>
    <row r="70" spans="1:7" x14ac:dyDescent="0.2">
      <c r="A70" s="22" t="s">
        <v>115</v>
      </c>
      <c r="B70" s="22" t="s">
        <v>65</v>
      </c>
      <c r="C70" s="22" t="s">
        <v>160</v>
      </c>
      <c r="D70" s="22">
        <v>5</v>
      </c>
      <c r="E70" s="22">
        <v>253.90727699999999</v>
      </c>
      <c r="F70" s="22">
        <v>460</v>
      </c>
      <c r="G70" s="40">
        <f t="shared" si="0"/>
        <v>506.99428275661103</v>
      </c>
    </row>
    <row r="71" spans="1:7" x14ac:dyDescent="0.2">
      <c r="A71" s="22" t="s">
        <v>115</v>
      </c>
      <c r="B71" s="22" t="s">
        <v>65</v>
      </c>
      <c r="C71" s="22" t="s">
        <v>160</v>
      </c>
      <c r="D71" s="22">
        <v>6.8</v>
      </c>
      <c r="E71" s="22">
        <v>345.31389672</v>
      </c>
      <c r="F71" s="22">
        <v>535</v>
      </c>
      <c r="G71" s="40">
        <f t="shared" si="0"/>
        <v>689.51222454899107</v>
      </c>
    </row>
    <row r="72" spans="1:7" x14ac:dyDescent="0.2">
      <c r="A72" s="22" t="s">
        <v>113</v>
      </c>
      <c r="B72" s="22" t="s">
        <v>65</v>
      </c>
      <c r="C72" s="22" t="s">
        <v>158</v>
      </c>
      <c r="D72" s="22">
        <v>6.7</v>
      </c>
      <c r="E72" s="22">
        <v>340.23575118000002</v>
      </c>
      <c r="F72" s="22">
        <v>535</v>
      </c>
      <c r="G72" s="40">
        <f t="shared" si="0"/>
        <v>679.3723388938588</v>
      </c>
    </row>
    <row r="73" spans="1:7" x14ac:dyDescent="0.2">
      <c r="A73" s="22" t="s">
        <v>113</v>
      </c>
      <c r="B73" s="22" t="s">
        <v>65</v>
      </c>
      <c r="C73" s="22" t="s">
        <v>158</v>
      </c>
      <c r="D73" s="22">
        <v>4.9000000000000004</v>
      </c>
      <c r="E73" s="22">
        <v>248.82913146000001</v>
      </c>
      <c r="F73" s="22">
        <v>460</v>
      </c>
      <c r="G73" s="40">
        <f t="shared" si="0"/>
        <v>496.85439710147887</v>
      </c>
    </row>
    <row r="74" spans="1:7" x14ac:dyDescent="0.2">
      <c r="A74" s="22" t="s">
        <v>134</v>
      </c>
      <c r="B74" s="22" t="s">
        <v>1</v>
      </c>
      <c r="C74" s="22" t="s">
        <v>158</v>
      </c>
      <c r="D74" s="22">
        <v>2</v>
      </c>
      <c r="E74" s="22">
        <v>101.5629108</v>
      </c>
      <c r="F74" s="22">
        <v>210</v>
      </c>
      <c r="G74" s="40">
        <f t="shared" si="0"/>
        <v>202.79771310264442</v>
      </c>
    </row>
    <row r="75" spans="1:7" x14ac:dyDescent="0.2">
      <c r="A75" s="22" t="s">
        <v>136</v>
      </c>
      <c r="B75" s="22" t="s">
        <v>1</v>
      </c>
      <c r="C75" s="22" t="s">
        <v>160</v>
      </c>
      <c r="D75" s="22">
        <v>1</v>
      </c>
      <c r="E75" s="22">
        <v>50.781455399999999</v>
      </c>
      <c r="F75" s="22">
        <v>140</v>
      </c>
      <c r="G75" s="40">
        <f t="shared" si="0"/>
        <v>101.39885655132221</v>
      </c>
    </row>
    <row r="76" spans="1:7" x14ac:dyDescent="0.2">
      <c r="A76" s="22" t="s">
        <v>140</v>
      </c>
      <c r="B76" s="22" t="s">
        <v>76</v>
      </c>
      <c r="C76" s="22" t="s">
        <v>160</v>
      </c>
      <c r="D76" s="22">
        <v>1.6</v>
      </c>
      <c r="E76" s="22">
        <v>81.250328640000006</v>
      </c>
      <c r="F76" s="22">
        <v>160</v>
      </c>
      <c r="G76" s="40">
        <f t="shared" si="0"/>
        <v>162.23817048211555</v>
      </c>
    </row>
    <row r="77" spans="1:7" x14ac:dyDescent="0.2">
      <c r="A77" s="22" t="s">
        <v>142</v>
      </c>
      <c r="B77" s="22" t="s">
        <v>76</v>
      </c>
      <c r="C77" s="22" t="s">
        <v>158</v>
      </c>
      <c r="D77" s="22">
        <v>2.1</v>
      </c>
      <c r="E77" s="22">
        <v>106.64105634000001</v>
      </c>
      <c r="F77" s="22">
        <v>210</v>
      </c>
      <c r="G77" s="40">
        <f t="shared" ref="G77:G83" si="1">D77*(1+$B$4)*($B$2-$B$6)</f>
        <v>212.93759875777664</v>
      </c>
    </row>
    <row r="78" spans="1:7" x14ac:dyDescent="0.2">
      <c r="A78" s="22" t="s">
        <v>140</v>
      </c>
      <c r="B78" s="22" t="s">
        <v>76</v>
      </c>
      <c r="C78" s="22" t="s">
        <v>160</v>
      </c>
      <c r="D78" s="22">
        <v>1.8</v>
      </c>
      <c r="E78" s="22">
        <v>91.406619719999995</v>
      </c>
      <c r="F78" s="22">
        <v>180</v>
      </c>
      <c r="G78" s="40">
        <f t="shared" si="1"/>
        <v>182.51794179237999</v>
      </c>
    </row>
    <row r="79" spans="1:7" x14ac:dyDescent="0.2">
      <c r="A79" s="22" t="s">
        <v>142</v>
      </c>
      <c r="B79" s="22" t="s">
        <v>76</v>
      </c>
      <c r="C79" s="22" t="s">
        <v>158</v>
      </c>
      <c r="D79" s="22">
        <v>0.8</v>
      </c>
      <c r="E79" s="22">
        <v>40.625164320000003</v>
      </c>
      <c r="F79" s="22">
        <v>80</v>
      </c>
      <c r="G79" s="40">
        <f t="shared" si="1"/>
        <v>81.119085241057775</v>
      </c>
    </row>
    <row r="80" spans="1:7" x14ac:dyDescent="0.2">
      <c r="A80" s="22" t="s">
        <v>24</v>
      </c>
      <c r="B80" s="22" t="s">
        <v>23</v>
      </c>
      <c r="C80" s="22" t="s">
        <v>158</v>
      </c>
      <c r="D80" s="22">
        <v>4.2</v>
      </c>
      <c r="E80" s="22">
        <v>213.28211268000001</v>
      </c>
      <c r="F80" s="22">
        <v>380</v>
      </c>
      <c r="G80" s="40">
        <f t="shared" si="1"/>
        <v>425.87519751555328</v>
      </c>
    </row>
    <row r="81" spans="1:7" x14ac:dyDescent="0.2">
      <c r="A81" s="22" t="s">
        <v>150</v>
      </c>
      <c r="B81" s="22" t="s">
        <v>149</v>
      </c>
      <c r="C81" s="22" t="s">
        <v>158</v>
      </c>
      <c r="D81" s="22">
        <v>2.2000000000000002</v>
      </c>
      <c r="E81" s="22">
        <v>111.71920188</v>
      </c>
      <c r="F81" s="22">
        <v>225</v>
      </c>
      <c r="G81" s="40">
        <f t="shared" si="1"/>
        <v>223.07748441290889</v>
      </c>
    </row>
    <row r="82" spans="1:7" x14ac:dyDescent="0.2">
      <c r="A82" s="22" t="s">
        <v>150</v>
      </c>
      <c r="B82" s="22" t="s">
        <v>149</v>
      </c>
      <c r="C82" s="22" t="s">
        <v>158</v>
      </c>
      <c r="D82" s="22">
        <v>2.2999999999999998</v>
      </c>
      <c r="E82" s="22">
        <v>116.79734741999999</v>
      </c>
      <c r="F82" s="22">
        <v>225</v>
      </c>
      <c r="G82" s="40">
        <f t="shared" si="1"/>
        <v>233.21737006804108</v>
      </c>
    </row>
    <row r="83" spans="1:7" x14ac:dyDescent="0.2">
      <c r="A83" s="22" t="s">
        <v>150</v>
      </c>
      <c r="B83" s="22" t="s">
        <v>149</v>
      </c>
      <c r="C83" s="22" t="s">
        <v>158</v>
      </c>
      <c r="D83" s="22">
        <v>1.1000000000000001</v>
      </c>
      <c r="E83" s="22">
        <v>55.85960094</v>
      </c>
      <c r="F83" s="22">
        <v>110</v>
      </c>
      <c r="G83" s="40">
        <f t="shared" si="1"/>
        <v>111.53874220645444</v>
      </c>
    </row>
    <row r="84" spans="1:7" x14ac:dyDescent="0.2">
      <c r="G84" s="22"/>
    </row>
    <row r="86" spans="1:7" x14ac:dyDescent="0.2">
      <c r="A86" s="11"/>
      <c r="B86" s="11"/>
    </row>
    <row r="87" spans="1:7" ht="17" x14ac:dyDescent="0.25">
      <c r="B87" s="12"/>
    </row>
    <row r="88" spans="1:7" ht="17" x14ac:dyDescent="0.25">
      <c r="B88" s="12"/>
    </row>
    <row r="89" spans="1:7" ht="17" x14ac:dyDescent="0.25">
      <c r="B89" s="12"/>
    </row>
  </sheetData>
  <conditionalFormatting sqref="G84 A12:D83 F12:G83">
    <cfRule type="expression" dxfId="1" priority="2">
      <formula>$O12="Sold"</formula>
    </cfRule>
  </conditionalFormatting>
  <conditionalFormatting sqref="E12:E83">
    <cfRule type="expression" dxfId="0" priority="1">
      <formula>$O12="Sold"</formula>
    </cfRule>
  </conditionalFormatting>
  <dataValidations count="1">
    <dataValidation type="list" allowBlank="1" showInputMessage="1" showErrorMessage="1" sqref="B86" xr:uid="{45DC84F4-8B0E-1B47-9C68-F05BA9466E87}">
      <formula1>"Best Case,Base Case,Worst Case"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502A-87F9-7642-94BC-2033A013D5DC}">
  <dimension ref="A1:T582"/>
  <sheetViews>
    <sheetView topLeftCell="C1" workbookViewId="0">
      <selection activeCell="N211" sqref="N211"/>
    </sheetView>
  </sheetViews>
  <sheetFormatPr baseColWidth="10" defaultRowHeight="16" x14ac:dyDescent="0.2"/>
  <cols>
    <col min="1" max="1" width="17.83203125" style="49" bestFit="1" customWidth="1"/>
    <col min="2" max="2" width="18.1640625" style="45" customWidth="1"/>
    <col min="3" max="3" width="18" style="45" customWidth="1"/>
    <col min="4" max="4" width="22.6640625" style="45" customWidth="1"/>
    <col min="5" max="7" width="26" style="45" customWidth="1"/>
    <col min="8" max="9" width="10.83203125" style="45"/>
    <col min="10" max="10" width="17.83203125" style="49" bestFit="1" customWidth="1"/>
    <col min="11" max="11" width="14" style="45" customWidth="1"/>
    <col min="12" max="12" width="22.6640625" style="45" customWidth="1"/>
    <col min="13" max="16" width="21.1640625" style="45" customWidth="1"/>
    <col min="17" max="16384" width="10.83203125" style="45"/>
  </cols>
  <sheetData>
    <row r="1" spans="1:20" s="47" customFormat="1" x14ac:dyDescent="0.2">
      <c r="A1" s="48" t="s">
        <v>215</v>
      </c>
      <c r="B1" s="47" t="s">
        <v>228</v>
      </c>
      <c r="C1" s="47" t="s">
        <v>229</v>
      </c>
      <c r="D1" s="47" t="s">
        <v>226</v>
      </c>
      <c r="E1" s="47" t="s">
        <v>227</v>
      </c>
      <c r="F1" s="47" t="s">
        <v>232</v>
      </c>
      <c r="G1" s="47" t="s">
        <v>233</v>
      </c>
      <c r="J1" s="48" t="s">
        <v>215</v>
      </c>
      <c r="K1" s="47" t="s">
        <v>224</v>
      </c>
      <c r="L1" s="47" t="s">
        <v>230</v>
      </c>
      <c r="M1" s="47" t="s">
        <v>231</v>
      </c>
      <c r="N1" s="47" t="s">
        <v>232</v>
      </c>
      <c r="O1" s="47" t="s">
        <v>233</v>
      </c>
      <c r="R1" s="47" t="s">
        <v>225</v>
      </c>
      <c r="T1" s="47">
        <v>0.2</v>
      </c>
    </row>
    <row r="2" spans="1:20" s="47" customFormat="1" x14ac:dyDescent="0.2">
      <c r="A2" s="49">
        <v>46203</v>
      </c>
      <c r="E2" s="45">
        <f>($T$1*D14) + ((1-$T$1)*E3)</f>
        <v>60.899268620248058</v>
      </c>
      <c r="F2" s="45"/>
      <c r="G2" s="51">
        <f>AVERAGE(F14:F582)</f>
        <v>5.6416247908768154E-2</v>
      </c>
      <c r="J2" s="49">
        <v>46203</v>
      </c>
      <c r="M2" s="45">
        <f>($T$1*L14) + ((1-$T$1)*M3)</f>
        <v>1.6228531264457065</v>
      </c>
      <c r="N2" s="45"/>
      <c r="O2" s="50">
        <f>AVERAGE(N14:N212)</f>
        <v>0.93415840008171902</v>
      </c>
      <c r="P2" s="45"/>
    </row>
    <row r="3" spans="1:20" s="47" customFormat="1" x14ac:dyDescent="0.2">
      <c r="A3" s="49">
        <v>46173</v>
      </c>
      <c r="E3" s="45">
        <f>($T$1*D14) + ((1-$T$1)*E4)</f>
        <v>60.775699205738583</v>
      </c>
      <c r="F3" s="45"/>
      <c r="G3" s="45"/>
      <c r="J3" s="49">
        <v>46173</v>
      </c>
      <c r="M3" s="45">
        <f>($T$1*L14) + ((1-$T$1)*M4)</f>
        <v>1.6196711068852392</v>
      </c>
      <c r="N3" s="45"/>
      <c r="O3" s="45"/>
      <c r="P3" s="45"/>
    </row>
    <row r="4" spans="1:20" s="47" customFormat="1" x14ac:dyDescent="0.2">
      <c r="A4" s="49">
        <v>46142</v>
      </c>
      <c r="E4" s="45">
        <f>($T$1*D14) + ((1-$T$1)*E5)</f>
        <v>60.621237437601735</v>
      </c>
      <c r="F4" s="45"/>
      <c r="G4" s="45"/>
      <c r="J4" s="49">
        <v>46142</v>
      </c>
      <c r="M4" s="45">
        <f>($T$1*L14) + ((1-$T$1)*M5)</f>
        <v>1.615693582434655</v>
      </c>
      <c r="N4" s="45"/>
      <c r="O4" s="45"/>
      <c r="P4" s="45"/>
    </row>
    <row r="5" spans="1:20" s="47" customFormat="1" x14ac:dyDescent="0.2">
      <c r="A5" s="49">
        <v>46112</v>
      </c>
      <c r="E5" s="45">
        <f>($T$1*D14) + ((1-$T$1)*E6)</f>
        <v>60.428160227430674</v>
      </c>
      <c r="F5" s="45"/>
      <c r="G5" s="45"/>
      <c r="J5" s="49">
        <v>46112</v>
      </c>
      <c r="M5" s="45">
        <f>($T$1*L14) + ((1-$T$1)*M6)</f>
        <v>1.6107216768714245</v>
      </c>
      <c r="N5" s="45"/>
      <c r="O5" s="45"/>
      <c r="P5" s="45"/>
    </row>
    <row r="6" spans="1:20" s="47" customFormat="1" x14ac:dyDescent="0.2">
      <c r="A6" s="49">
        <v>46081</v>
      </c>
      <c r="E6" s="45">
        <f>($T$1*D14) + ((1-$T$1)*E7)</f>
        <v>60.186813714716848</v>
      </c>
      <c r="F6" s="45"/>
      <c r="G6" s="45"/>
      <c r="J6" s="49">
        <v>46081</v>
      </c>
      <c r="M6" s="45">
        <f>($T$1*L14) + ((1-$T$1)*M7)</f>
        <v>1.6045067949173868</v>
      </c>
      <c r="N6" s="45"/>
      <c r="O6" s="45"/>
      <c r="P6" s="45"/>
    </row>
    <row r="7" spans="1:20" s="47" customFormat="1" x14ac:dyDescent="0.2">
      <c r="A7" s="49">
        <v>46053</v>
      </c>
      <c r="E7" s="45">
        <f>($T$1*D14) + ((1-$T$1)*E8)</f>
        <v>59.885130573824569</v>
      </c>
      <c r="F7" s="45"/>
      <c r="G7" s="45"/>
      <c r="J7" s="49">
        <v>46053</v>
      </c>
      <c r="M7" s="45">
        <f>($T$1*L14) + ((1-$T$1)*M8)</f>
        <v>1.5967381924748394</v>
      </c>
      <c r="N7" s="45"/>
      <c r="O7" s="45"/>
      <c r="P7" s="45"/>
    </row>
    <row r="8" spans="1:20" s="47" customFormat="1" x14ac:dyDescent="0.2">
      <c r="A8" s="49">
        <v>46022</v>
      </c>
      <c r="E8" s="45">
        <f>($T$1*D14) + ((1-$T$1)*E9)</f>
        <v>59.508026647709215</v>
      </c>
      <c r="F8" s="45"/>
      <c r="G8" s="45"/>
      <c r="J8" s="49">
        <v>46022</v>
      </c>
      <c r="M8" s="45">
        <f>($T$1*L14) + ((1-$T$1)*M9)</f>
        <v>1.5870274394216555</v>
      </c>
      <c r="N8" s="45"/>
      <c r="O8" s="45"/>
      <c r="P8" s="45"/>
    </row>
    <row r="9" spans="1:20" s="47" customFormat="1" x14ac:dyDescent="0.2">
      <c r="A9" s="49">
        <v>45991</v>
      </c>
      <c r="E9" s="45">
        <f>($T$1*D14) + ((1-$T$1)*E10)</f>
        <v>59.036646740065024</v>
      </c>
      <c r="F9" s="45"/>
      <c r="G9" s="45"/>
      <c r="J9" s="49">
        <v>45991</v>
      </c>
      <c r="M9" s="45">
        <f>($T$1*L14) + ((1-$T$1)*M10)</f>
        <v>1.5748889981051755</v>
      </c>
      <c r="N9" s="45"/>
      <c r="O9" s="45"/>
      <c r="P9" s="45"/>
    </row>
    <row r="10" spans="1:20" s="47" customFormat="1" x14ac:dyDescent="0.2">
      <c r="A10" s="49">
        <v>45961</v>
      </c>
      <c r="E10" s="45">
        <f>($T$1*D14) + ((1-$T$1)*E11)</f>
        <v>58.447421855509788</v>
      </c>
      <c r="F10" s="45"/>
      <c r="G10" s="45"/>
      <c r="J10" s="49">
        <v>45961</v>
      </c>
      <c r="M10" s="45">
        <f>($T$1*L14) + ((1-$T$1)*M11)</f>
        <v>1.5597159464595753</v>
      </c>
      <c r="N10" s="45"/>
      <c r="O10" s="45"/>
      <c r="P10" s="45"/>
    </row>
    <row r="11" spans="1:20" s="47" customFormat="1" x14ac:dyDescent="0.2">
      <c r="A11" s="49">
        <v>45930</v>
      </c>
      <c r="E11" s="45">
        <f>($T$1*D14) + ((1-$T$1)*E12)</f>
        <v>57.710890749815739</v>
      </c>
      <c r="F11" s="45"/>
      <c r="G11" s="45"/>
      <c r="J11" s="49">
        <v>45930</v>
      </c>
      <c r="M11" s="45">
        <f>($T$1*L14) + ((1-$T$1)*M12)</f>
        <v>1.5407496319025751</v>
      </c>
      <c r="N11" s="45"/>
      <c r="O11" s="45"/>
      <c r="P11" s="45"/>
    </row>
    <row r="12" spans="1:20" s="47" customFormat="1" x14ac:dyDescent="0.2">
      <c r="A12" s="49">
        <v>45900</v>
      </c>
      <c r="E12" s="45">
        <f>($T$1*D14) + ((1-$T$1)*E13)</f>
        <v>56.790226867698181</v>
      </c>
      <c r="F12" s="45"/>
      <c r="G12" s="45"/>
      <c r="J12" s="49">
        <v>45900</v>
      </c>
      <c r="M12" s="45">
        <f>($T$1*L14) + ((1-$T$1)*M13)</f>
        <v>1.5170417387063249</v>
      </c>
      <c r="N12" s="45"/>
      <c r="O12" s="45"/>
      <c r="P12" s="45"/>
    </row>
    <row r="13" spans="1:20" s="47" customFormat="1" x14ac:dyDescent="0.2">
      <c r="A13" s="49">
        <v>45869</v>
      </c>
      <c r="E13" s="45">
        <f t="shared" ref="E13:E44" si="0">($T$1*D14) + ((1-$T$1)*E14)</f>
        <v>55.63939701505123</v>
      </c>
      <c r="F13" s="45"/>
      <c r="G13" s="45"/>
      <c r="J13" s="49">
        <v>45869</v>
      </c>
      <c r="M13" s="45">
        <f t="shared" ref="M13:M44" si="1">($T$1*L14) + ((1-$T$1)*M14)</f>
        <v>1.4874068722110119</v>
      </c>
      <c r="N13" s="45"/>
      <c r="O13" s="45"/>
      <c r="P13" s="45"/>
    </row>
    <row r="14" spans="1:20" x14ac:dyDescent="0.2">
      <c r="A14" s="49">
        <v>45838</v>
      </c>
      <c r="B14" s="46">
        <v>4582.93</v>
      </c>
      <c r="C14" s="45">
        <f t="shared" ref="C14:C77" si="2">B14/(31.1035)</f>
        <v>147.34451106788626</v>
      </c>
      <c r="D14" s="45">
        <f t="shared" ref="D14:D77" si="3">(C14/24)*10</f>
        <v>61.393546278285946</v>
      </c>
      <c r="E14" s="45">
        <f t="shared" si="0"/>
        <v>54.20085969924255</v>
      </c>
      <c r="F14" s="45">
        <f>ABS((D14-E14)/D14)</f>
        <v>0.11715704687330224</v>
      </c>
      <c r="J14" s="49">
        <v>45870</v>
      </c>
      <c r="K14" s="45">
        <v>50.872300000000003</v>
      </c>
      <c r="L14" s="45">
        <f t="shared" ref="L14:L45" si="4">K14/(31.1035)</f>
        <v>1.6355812046875755</v>
      </c>
      <c r="M14" s="45">
        <f t="shared" si="1"/>
        <v>1.450363289091871</v>
      </c>
      <c r="N14" s="45">
        <f>ABS((L14-F14)/L14)</f>
        <v>0.92836977672674992</v>
      </c>
    </row>
    <row r="15" spans="1:20" x14ac:dyDescent="0.2">
      <c r="A15" s="49">
        <v>45807</v>
      </c>
      <c r="B15" s="46">
        <v>4546.66</v>
      </c>
      <c r="C15" s="45">
        <f t="shared" si="2"/>
        <v>146.17840435963797</v>
      </c>
      <c r="D15" s="45">
        <f t="shared" si="3"/>
        <v>60.907668483182491</v>
      </c>
      <c r="E15" s="45">
        <f t="shared" si="0"/>
        <v>52.524157503257555</v>
      </c>
      <c r="F15" s="45">
        <f t="shared" ref="F15:F78" si="5">ABS((D15-E15)/D15)</f>
        <v>0.13764294691791965</v>
      </c>
      <c r="J15" s="49">
        <v>45839</v>
      </c>
      <c r="K15" s="45">
        <v>49.135300000000001</v>
      </c>
      <c r="L15" s="45">
        <f t="shared" si="4"/>
        <v>1.5797353995531049</v>
      </c>
      <c r="M15" s="45">
        <f t="shared" si="1"/>
        <v>1.4180202614765625</v>
      </c>
      <c r="N15" s="45">
        <f t="shared" ref="N15:N78" si="6">ABS((L15-F15)/L15)</f>
        <v>0.91286961920530629</v>
      </c>
    </row>
    <row r="16" spans="1:20" x14ac:dyDescent="0.2">
      <c r="A16" s="49">
        <v>45777</v>
      </c>
      <c r="B16" s="46">
        <v>4488.33</v>
      </c>
      <c r="C16" s="45">
        <f t="shared" si="2"/>
        <v>144.30305271110967</v>
      </c>
      <c r="D16" s="45">
        <f t="shared" si="3"/>
        <v>60.126271962962363</v>
      </c>
      <c r="E16" s="45">
        <f t="shared" si="0"/>
        <v>50.623628888331353</v>
      </c>
      <c r="F16" s="45">
        <f t="shared" si="5"/>
        <v>0.15804477417932405</v>
      </c>
      <c r="J16" s="49">
        <v>45809</v>
      </c>
      <c r="K16" s="45">
        <v>45.324300000000001</v>
      </c>
      <c r="L16" s="45">
        <f t="shared" si="4"/>
        <v>1.4572089957721799</v>
      </c>
      <c r="M16" s="45">
        <f t="shared" si="1"/>
        <v>1.4082230779026581</v>
      </c>
      <c r="N16" s="45">
        <f t="shared" si="6"/>
        <v>0.89154282286352782</v>
      </c>
    </row>
    <row r="17" spans="1:14" x14ac:dyDescent="0.2">
      <c r="A17" s="49">
        <v>45747</v>
      </c>
      <c r="B17" s="46">
        <v>4284.63</v>
      </c>
      <c r="C17" s="45">
        <f t="shared" si="2"/>
        <v>137.75395052003793</v>
      </c>
      <c r="D17" s="45">
        <f t="shared" si="3"/>
        <v>57.397479383349143</v>
      </c>
      <c r="E17" s="45">
        <f t="shared" si="0"/>
        <v>48.930166264576897</v>
      </c>
      <c r="F17" s="45">
        <f t="shared" si="5"/>
        <v>0.14752064393316533</v>
      </c>
      <c r="J17" s="49">
        <v>45778</v>
      </c>
      <c r="K17" s="45">
        <v>45.009700000000002</v>
      </c>
      <c r="L17" s="45">
        <f t="shared" si="4"/>
        <v>1.4470943784461556</v>
      </c>
      <c r="M17" s="45">
        <f t="shared" si="1"/>
        <v>1.3985052527667838</v>
      </c>
      <c r="N17" s="45">
        <f t="shared" si="6"/>
        <v>0.89805734433743822</v>
      </c>
    </row>
    <row r="18" spans="1:14" x14ac:dyDescent="0.2">
      <c r="A18" s="49">
        <v>45716</v>
      </c>
      <c r="B18" s="46">
        <v>4136.8</v>
      </c>
      <c r="C18" s="45">
        <f t="shared" si="2"/>
        <v>133.00110919992926</v>
      </c>
      <c r="D18" s="45">
        <f t="shared" si="3"/>
        <v>55.417128833303863</v>
      </c>
      <c r="E18" s="45">
        <f t="shared" si="0"/>
        <v>47.308425622395148</v>
      </c>
      <c r="F18" s="45">
        <f t="shared" si="5"/>
        <v>0.14632124365915639</v>
      </c>
      <c r="J18" s="49">
        <v>45748</v>
      </c>
      <c r="K18" s="45">
        <v>48.980600000000003</v>
      </c>
      <c r="L18" s="45">
        <f t="shared" si="4"/>
        <v>1.5747616827688202</v>
      </c>
      <c r="M18" s="45">
        <f t="shared" si="1"/>
        <v>1.3544411452662746</v>
      </c>
      <c r="N18" s="45">
        <f t="shared" si="6"/>
        <v>0.90708356365269982</v>
      </c>
    </row>
    <row r="19" spans="1:14" x14ac:dyDescent="0.2">
      <c r="A19" s="49">
        <v>45688</v>
      </c>
      <c r="B19" s="46">
        <v>3897.72</v>
      </c>
      <c r="C19" s="45">
        <f t="shared" si="2"/>
        <v>125.31451444371211</v>
      </c>
      <c r="D19" s="45">
        <f t="shared" si="3"/>
        <v>52.214381018213381</v>
      </c>
      <c r="E19" s="45">
        <f t="shared" si="0"/>
        <v>46.081936773440589</v>
      </c>
      <c r="F19" s="45">
        <f t="shared" si="5"/>
        <v>0.11744741822437151</v>
      </c>
      <c r="J19" s="49">
        <v>45717</v>
      </c>
      <c r="K19" s="45">
        <v>44.944299999999998</v>
      </c>
      <c r="L19" s="45">
        <f t="shared" si="4"/>
        <v>1.4449917211889336</v>
      </c>
      <c r="M19" s="45">
        <f t="shared" si="1"/>
        <v>1.3318035012856095</v>
      </c>
      <c r="N19" s="45">
        <f t="shared" si="6"/>
        <v>0.91872104420934941</v>
      </c>
    </row>
    <row r="20" spans="1:14" x14ac:dyDescent="0.2">
      <c r="A20" s="49">
        <v>45657</v>
      </c>
      <c r="B20" s="46">
        <v>3760.92</v>
      </c>
      <c r="C20" s="45">
        <f t="shared" si="2"/>
        <v>120.91629559374347</v>
      </c>
      <c r="D20" s="45">
        <f t="shared" si="3"/>
        <v>50.381789830726447</v>
      </c>
      <c r="E20" s="45">
        <f t="shared" si="0"/>
        <v>45.006973509119128</v>
      </c>
      <c r="F20" s="45">
        <f t="shared" si="5"/>
        <v>0.10668172646636244</v>
      </c>
      <c r="J20" s="49">
        <v>45689</v>
      </c>
      <c r="K20" s="45">
        <v>45.345399999999998</v>
      </c>
      <c r="L20" s="45">
        <f t="shared" si="4"/>
        <v>1.457887376018776</v>
      </c>
      <c r="M20" s="45">
        <f t="shared" si="1"/>
        <v>1.3002825326023177</v>
      </c>
      <c r="N20" s="45">
        <f t="shared" si="6"/>
        <v>0.92682443910194856</v>
      </c>
    </row>
    <row r="21" spans="1:14" x14ac:dyDescent="0.2">
      <c r="A21" s="49">
        <v>45625</v>
      </c>
      <c r="B21" s="46">
        <v>3703.09</v>
      </c>
      <c r="C21" s="45">
        <f t="shared" si="2"/>
        <v>119.05701930650892</v>
      </c>
      <c r="D21" s="45">
        <f t="shared" si="3"/>
        <v>49.607091377712045</v>
      </c>
      <c r="E21" s="45">
        <f t="shared" si="0"/>
        <v>43.856944041970898</v>
      </c>
      <c r="F21" s="45">
        <f t="shared" si="5"/>
        <v>0.11591381748143832</v>
      </c>
      <c r="J21" s="49">
        <v>45658</v>
      </c>
      <c r="K21" s="45">
        <v>41.526000000000003</v>
      </c>
      <c r="L21" s="45">
        <f t="shared" si="4"/>
        <v>1.3350909061681162</v>
      </c>
      <c r="M21" s="45">
        <f t="shared" si="1"/>
        <v>1.2915804392108681</v>
      </c>
      <c r="N21" s="45">
        <f t="shared" si="6"/>
        <v>0.91317908245354928</v>
      </c>
    </row>
    <row r="22" spans="1:14" x14ac:dyDescent="0.2">
      <c r="A22" s="49">
        <v>45596</v>
      </c>
      <c r="B22" s="46">
        <v>3701.49</v>
      </c>
      <c r="C22" s="45">
        <f t="shared" si="2"/>
        <v>119.00557815036892</v>
      </c>
      <c r="D22" s="45">
        <f t="shared" si="3"/>
        <v>49.585657562653715</v>
      </c>
      <c r="E22" s="45">
        <f t="shared" si="0"/>
        <v>42.424765661800194</v>
      </c>
      <c r="F22" s="45">
        <f t="shared" si="5"/>
        <v>0.14441457979669647</v>
      </c>
      <c r="J22" s="49">
        <v>45627</v>
      </c>
      <c r="K22" s="45">
        <v>42.8429</v>
      </c>
      <c r="L22" s="45">
        <f t="shared" si="4"/>
        <v>1.3774301927435819</v>
      </c>
      <c r="M22" s="45">
        <f t="shared" si="1"/>
        <v>1.2701180008276896</v>
      </c>
      <c r="N22" s="45">
        <f t="shared" si="6"/>
        <v>0.89515651641913718</v>
      </c>
    </row>
    <row r="23" spans="1:14" x14ac:dyDescent="0.2">
      <c r="A23" s="49">
        <v>45565</v>
      </c>
      <c r="B23" s="46">
        <v>3476.46</v>
      </c>
      <c r="C23" s="45">
        <f t="shared" si="2"/>
        <v>111.77070104650602</v>
      </c>
      <c r="D23" s="45">
        <f t="shared" si="3"/>
        <v>46.57112543604417</v>
      </c>
      <c r="E23" s="45">
        <f t="shared" si="0"/>
        <v>41.388175718239204</v>
      </c>
      <c r="F23" s="45">
        <f t="shared" si="5"/>
        <v>0.11129105576206609</v>
      </c>
      <c r="J23" s="49">
        <v>45597</v>
      </c>
      <c r="K23" s="45">
        <v>45.527200000000001</v>
      </c>
      <c r="L23" s="45">
        <f t="shared" si="4"/>
        <v>1.4637323773851818</v>
      </c>
      <c r="M23" s="45">
        <f t="shared" si="1"/>
        <v>1.2217144066883165</v>
      </c>
      <c r="N23" s="45">
        <f t="shared" si="6"/>
        <v>0.92396762039186631</v>
      </c>
    </row>
    <row r="24" spans="1:14" x14ac:dyDescent="0.2">
      <c r="A24" s="49">
        <v>45534</v>
      </c>
      <c r="B24" s="46">
        <v>3372.65</v>
      </c>
      <c r="C24" s="45">
        <f t="shared" si="2"/>
        <v>108.43313453469867</v>
      </c>
      <c r="D24" s="45">
        <f t="shared" si="3"/>
        <v>45.180472722791116</v>
      </c>
      <c r="E24" s="45">
        <f t="shared" si="0"/>
        <v>40.440101467101222</v>
      </c>
      <c r="F24" s="45">
        <f t="shared" si="5"/>
        <v>0.10492079807962328</v>
      </c>
      <c r="J24" s="49">
        <v>45566</v>
      </c>
      <c r="K24" s="45">
        <v>42.135399999999997</v>
      </c>
      <c r="L24" s="45">
        <f t="shared" si="4"/>
        <v>1.3546835565129325</v>
      </c>
      <c r="M24" s="45">
        <f t="shared" si="1"/>
        <v>1.1884721192321626</v>
      </c>
      <c r="N24" s="45">
        <f t="shared" si="6"/>
        <v>0.92254958910869345</v>
      </c>
    </row>
    <row r="25" spans="1:14" x14ac:dyDescent="0.2">
      <c r="A25" s="49">
        <v>45504</v>
      </c>
      <c r="B25" s="46">
        <v>3284.29</v>
      </c>
      <c r="C25" s="45">
        <f t="shared" si="2"/>
        <v>105.59229668686804</v>
      </c>
      <c r="D25" s="45">
        <f t="shared" si="3"/>
        <v>43.996790286195015</v>
      </c>
      <c r="E25" s="45">
        <f t="shared" si="0"/>
        <v>39.55092926232777</v>
      </c>
      <c r="F25" s="45">
        <f t="shared" si="5"/>
        <v>0.1010496673722636</v>
      </c>
      <c r="J25" s="49">
        <v>45536</v>
      </c>
      <c r="K25" s="45">
        <v>38.923999999999999</v>
      </c>
      <c r="L25" s="45">
        <f t="shared" si="4"/>
        <v>1.2514347259954668</v>
      </c>
      <c r="M25" s="45">
        <f t="shared" si="1"/>
        <v>1.1727314675413365</v>
      </c>
      <c r="N25" s="45">
        <f t="shared" si="6"/>
        <v>0.91925294602011098</v>
      </c>
    </row>
    <row r="26" spans="1:14" x14ac:dyDescent="0.2">
      <c r="A26" s="49">
        <v>45471</v>
      </c>
      <c r="B26" s="46">
        <v>3188.36</v>
      </c>
      <c r="C26" s="45">
        <f t="shared" si="2"/>
        <v>102.50807786905011</v>
      </c>
      <c r="D26" s="45">
        <f t="shared" si="3"/>
        <v>42.711699112104213</v>
      </c>
      <c r="E26" s="45">
        <f t="shared" si="0"/>
        <v>38.760736799883659</v>
      </c>
      <c r="F26" s="45">
        <f t="shared" si="5"/>
        <v>9.2503047042230113E-2</v>
      </c>
      <c r="J26" s="49">
        <v>45505</v>
      </c>
      <c r="K26" s="45">
        <v>40.061399999999999</v>
      </c>
      <c r="L26" s="45">
        <f t="shared" si="4"/>
        <v>1.288002957866478</v>
      </c>
      <c r="M26" s="45">
        <f t="shared" si="1"/>
        <v>1.143913594960051</v>
      </c>
      <c r="N26" s="45">
        <f t="shared" si="6"/>
        <v>0.9281810290284912</v>
      </c>
    </row>
    <row r="27" spans="1:14" x14ac:dyDescent="0.2">
      <c r="A27" s="49">
        <v>45443</v>
      </c>
      <c r="B27" s="46">
        <v>3215.05</v>
      </c>
      <c r="C27" s="45">
        <f t="shared" si="2"/>
        <v>103.36618065491022</v>
      </c>
      <c r="D27" s="45">
        <f t="shared" si="3"/>
        <v>43.069241939545925</v>
      </c>
      <c r="E27" s="45">
        <f t="shared" si="0"/>
        <v>37.683610514968095</v>
      </c>
      <c r="F27" s="45">
        <f t="shared" si="5"/>
        <v>0.12504588383834023</v>
      </c>
      <c r="J27" s="49">
        <v>45474</v>
      </c>
      <c r="K27" s="45">
        <v>39.770099999999999</v>
      </c>
      <c r="L27" s="45">
        <f t="shared" si="4"/>
        <v>1.2786374523767421</v>
      </c>
      <c r="M27" s="45">
        <f t="shared" si="1"/>
        <v>1.1102326306058781</v>
      </c>
      <c r="N27" s="45">
        <f t="shared" si="6"/>
        <v>0.90220380014217183</v>
      </c>
    </row>
    <row r="28" spans="1:14" x14ac:dyDescent="0.2">
      <c r="A28" s="49">
        <v>45412</v>
      </c>
      <c r="B28" s="46">
        <v>3195.14</v>
      </c>
      <c r="C28" s="45">
        <f t="shared" si="2"/>
        <v>102.72605976819328</v>
      </c>
      <c r="D28" s="45">
        <f t="shared" si="3"/>
        <v>42.802524903413868</v>
      </c>
      <c r="E28" s="45">
        <f t="shared" si="0"/>
        <v>36.403881917856651</v>
      </c>
      <c r="F28" s="45">
        <f t="shared" si="5"/>
        <v>0.1494921853324328</v>
      </c>
      <c r="J28" s="49">
        <v>45444</v>
      </c>
      <c r="K28" s="45">
        <v>41.417900000000003</v>
      </c>
      <c r="L28" s="45">
        <f t="shared" si="4"/>
        <v>1.3316154130564086</v>
      </c>
      <c r="M28" s="45">
        <f t="shared" si="1"/>
        <v>1.0548869349932453</v>
      </c>
      <c r="N28" s="45">
        <f t="shared" si="6"/>
        <v>0.88773621582727957</v>
      </c>
    </row>
    <row r="29" spans="1:14" x14ac:dyDescent="0.2">
      <c r="A29" s="49">
        <v>45380</v>
      </c>
      <c r="B29" s="46">
        <v>2921.5</v>
      </c>
      <c r="C29" s="45">
        <f t="shared" si="2"/>
        <v>93.928336039352487</v>
      </c>
      <c r="D29" s="45">
        <f t="shared" si="3"/>
        <v>39.13680668306354</v>
      </c>
      <c r="E29" s="45">
        <f t="shared" si="0"/>
        <v>35.720650726554922</v>
      </c>
      <c r="F29" s="45">
        <f t="shared" si="5"/>
        <v>8.7287549650466506E-2</v>
      </c>
      <c r="J29" s="49">
        <v>45413</v>
      </c>
      <c r="K29" s="45">
        <v>36.237499999999997</v>
      </c>
      <c r="L29" s="45">
        <f t="shared" si="4"/>
        <v>1.1650618097641743</v>
      </c>
      <c r="M29" s="45">
        <f t="shared" si="1"/>
        <v>1.027343216300513</v>
      </c>
      <c r="N29" s="45">
        <f t="shared" si="6"/>
        <v>0.92507903965358296</v>
      </c>
    </row>
    <row r="30" spans="1:14" x14ac:dyDescent="0.2">
      <c r="A30" s="49">
        <v>45351</v>
      </c>
      <c r="B30" s="46">
        <v>2731.26</v>
      </c>
      <c r="C30" s="45">
        <f t="shared" si="2"/>
        <v>87.81198257430836</v>
      </c>
      <c r="D30" s="45">
        <f t="shared" si="3"/>
        <v>36.588326072628483</v>
      </c>
      <c r="E30" s="45">
        <f t="shared" si="0"/>
        <v>35.503731890036534</v>
      </c>
      <c r="F30" s="45">
        <f t="shared" si="5"/>
        <v>2.9643175816215554E-2</v>
      </c>
      <c r="J30" s="49">
        <v>45383</v>
      </c>
      <c r="K30" s="45">
        <v>33.8842</v>
      </c>
      <c r="L30" s="45">
        <f t="shared" si="4"/>
        <v>1.0894015142990339</v>
      </c>
      <c r="M30" s="45">
        <f t="shared" si="1"/>
        <v>1.0118286418008826</v>
      </c>
      <c r="N30" s="45">
        <f t="shared" si="6"/>
        <v>0.9727894853943827</v>
      </c>
    </row>
    <row r="31" spans="1:14" x14ac:dyDescent="0.2">
      <c r="A31" s="49">
        <v>45322</v>
      </c>
      <c r="B31" s="46">
        <v>2730.95</v>
      </c>
      <c r="C31" s="45">
        <f t="shared" si="2"/>
        <v>87.802015850306233</v>
      </c>
      <c r="D31" s="45">
        <f t="shared" si="3"/>
        <v>36.584173270960932</v>
      </c>
      <c r="E31" s="45">
        <f t="shared" si="0"/>
        <v>35.23362154480543</v>
      </c>
      <c r="F31" s="45">
        <f t="shared" si="5"/>
        <v>3.6916283884635866E-2</v>
      </c>
      <c r="J31" s="49">
        <v>45352</v>
      </c>
      <c r="K31" s="45">
        <v>30.767299999999999</v>
      </c>
      <c r="L31" s="45">
        <f t="shared" si="4"/>
        <v>0.9891909270660858</v>
      </c>
      <c r="M31" s="45">
        <f t="shared" si="1"/>
        <v>1.0174880704845817</v>
      </c>
      <c r="N31" s="45">
        <f t="shared" si="6"/>
        <v>0.96268032502670786</v>
      </c>
    </row>
    <row r="32" spans="1:14" x14ac:dyDescent="0.2">
      <c r="A32" s="49">
        <v>45289</v>
      </c>
      <c r="B32" s="46">
        <v>2729.81</v>
      </c>
      <c r="C32" s="45">
        <f t="shared" si="2"/>
        <v>87.765364026556497</v>
      </c>
      <c r="D32" s="45">
        <f t="shared" si="3"/>
        <v>36.568901677731873</v>
      </c>
      <c r="E32" s="45">
        <f t="shared" si="0"/>
        <v>34.89980151157382</v>
      </c>
      <c r="F32" s="45">
        <f t="shared" si="5"/>
        <v>4.5642611333181725E-2</v>
      </c>
      <c r="J32" s="49">
        <v>45323</v>
      </c>
      <c r="K32" s="45">
        <v>31.001200000000001</v>
      </c>
      <c r="L32" s="45">
        <f t="shared" si="4"/>
        <v>0.99671098107929978</v>
      </c>
      <c r="M32" s="45">
        <f t="shared" si="1"/>
        <v>1.0226823428359022</v>
      </c>
      <c r="N32" s="45">
        <f t="shared" si="6"/>
        <v>0.95420677387966857</v>
      </c>
    </row>
    <row r="33" spans="1:14" x14ac:dyDescent="0.2">
      <c r="A33" s="49">
        <v>45260</v>
      </c>
      <c r="B33" s="46">
        <v>2721.79</v>
      </c>
      <c r="C33" s="45">
        <f t="shared" si="2"/>
        <v>87.507515231404824</v>
      </c>
      <c r="D33" s="45">
        <f t="shared" si="3"/>
        <v>36.461464679752012</v>
      </c>
      <c r="E33" s="45">
        <f t="shared" si="0"/>
        <v>34.50938571952927</v>
      </c>
      <c r="F33" s="45">
        <f t="shared" si="5"/>
        <v>5.3538138891792299E-2</v>
      </c>
      <c r="J33" s="49">
        <v>45292</v>
      </c>
      <c r="K33" s="45">
        <v>31.508500000000002</v>
      </c>
      <c r="L33" s="45">
        <f t="shared" si="4"/>
        <v>1.0130210426479336</v>
      </c>
      <c r="M33" s="45">
        <f t="shared" si="1"/>
        <v>1.0250976678828942</v>
      </c>
      <c r="N33" s="45">
        <f t="shared" si="6"/>
        <v>0.94715002291378958</v>
      </c>
    </row>
    <row r="34" spans="1:14" x14ac:dyDescent="0.2">
      <c r="A34" s="49">
        <v>45230</v>
      </c>
      <c r="B34" s="46">
        <v>2623.03</v>
      </c>
      <c r="C34" s="45">
        <f t="shared" si="2"/>
        <v>84.332309868664311</v>
      </c>
      <c r="D34" s="45">
        <f t="shared" si="3"/>
        <v>35.138462445276794</v>
      </c>
      <c r="E34" s="45">
        <f t="shared" si="0"/>
        <v>34.352116538092382</v>
      </c>
      <c r="F34" s="45">
        <f t="shared" si="5"/>
        <v>2.2378495029742262E-2</v>
      </c>
      <c r="J34" s="49">
        <v>45261</v>
      </c>
      <c r="K34" s="45">
        <v>34.241100000000003</v>
      </c>
      <c r="L34" s="45">
        <f t="shared" si="4"/>
        <v>1.1008761071905091</v>
      </c>
      <c r="M34" s="45">
        <f t="shared" si="1"/>
        <v>1.0061530580559905</v>
      </c>
      <c r="N34" s="45">
        <f t="shared" si="6"/>
        <v>0.97967210398738391</v>
      </c>
    </row>
    <row r="35" spans="1:14" x14ac:dyDescent="0.2">
      <c r="A35" s="49">
        <v>45198</v>
      </c>
      <c r="B35" s="46">
        <v>2595.09</v>
      </c>
      <c r="C35" s="45">
        <f t="shared" si="2"/>
        <v>83.434018679569832</v>
      </c>
      <c r="D35" s="45">
        <f t="shared" si="3"/>
        <v>34.764174449820764</v>
      </c>
      <c r="E35" s="45">
        <f t="shared" si="0"/>
        <v>34.249102060160283</v>
      </c>
      <c r="F35" s="45">
        <f t="shared" si="5"/>
        <v>1.4816183551372588E-2</v>
      </c>
      <c r="J35" s="49">
        <v>45231</v>
      </c>
      <c r="K35" s="45">
        <v>31.7439</v>
      </c>
      <c r="L35" s="45">
        <f t="shared" si="4"/>
        <v>1.0205893227450287</v>
      </c>
      <c r="M35" s="45">
        <f t="shared" si="1"/>
        <v>1.0025439918837309</v>
      </c>
      <c r="N35" s="45">
        <f t="shared" si="6"/>
        <v>0.98548271746413907</v>
      </c>
    </row>
    <row r="36" spans="1:14" x14ac:dyDescent="0.2">
      <c r="A36" s="49">
        <v>45169</v>
      </c>
      <c r="B36" s="46">
        <v>2586.6999999999998</v>
      </c>
      <c r="C36" s="45">
        <f t="shared" si="2"/>
        <v>83.164274117060771</v>
      </c>
      <c r="D36" s="45">
        <f t="shared" si="3"/>
        <v>34.651780882108653</v>
      </c>
      <c r="E36" s="45">
        <f t="shared" si="0"/>
        <v>34.14843235467319</v>
      </c>
      <c r="F36" s="45">
        <f t="shared" si="5"/>
        <v>1.4525906450463307E-2</v>
      </c>
      <c r="J36" s="49">
        <v>45200</v>
      </c>
      <c r="K36" s="45">
        <v>30.084</v>
      </c>
      <c r="L36" s="45">
        <f t="shared" si="4"/>
        <v>0.96722233832205373</v>
      </c>
      <c r="M36" s="45">
        <f t="shared" si="1"/>
        <v>1.0113744052741502</v>
      </c>
      <c r="N36" s="45">
        <f t="shared" si="6"/>
        <v>0.98498183315775878</v>
      </c>
    </row>
    <row r="37" spans="1:14" x14ac:dyDescent="0.2">
      <c r="A37" s="49">
        <v>45138</v>
      </c>
      <c r="B37" s="46">
        <v>2575.3200000000002</v>
      </c>
      <c r="C37" s="45">
        <f t="shared" si="2"/>
        <v>82.798398894015151</v>
      </c>
      <c r="D37" s="45">
        <f t="shared" si="3"/>
        <v>34.499332872506315</v>
      </c>
      <c r="E37" s="45">
        <f t="shared" si="0"/>
        <v>34.060707225214905</v>
      </c>
      <c r="F37" s="45">
        <f t="shared" si="5"/>
        <v>1.2714032729628968E-2</v>
      </c>
      <c r="J37" s="49">
        <v>45170</v>
      </c>
      <c r="K37" s="45">
        <v>33.008000000000003</v>
      </c>
      <c r="L37" s="45">
        <f t="shared" si="4"/>
        <v>1.0612310511678751</v>
      </c>
      <c r="M37" s="45">
        <f t="shared" si="1"/>
        <v>0.9989102438007188</v>
      </c>
      <c r="N37" s="45">
        <f t="shared" si="6"/>
        <v>0.98801954323176167</v>
      </c>
    </row>
    <row r="38" spans="1:14" x14ac:dyDescent="0.2">
      <c r="A38" s="49">
        <v>45107</v>
      </c>
      <c r="B38" s="46">
        <v>2580.61</v>
      </c>
      <c r="C38" s="45">
        <f t="shared" si="2"/>
        <v>82.968476216502964</v>
      </c>
      <c r="D38" s="45">
        <f t="shared" si="3"/>
        <v>34.570198423542905</v>
      </c>
      <c r="E38" s="45">
        <f t="shared" si="0"/>
        <v>33.9333344256329</v>
      </c>
      <c r="F38" s="45">
        <f t="shared" si="5"/>
        <v>1.8422341408265965E-2</v>
      </c>
      <c r="J38" s="49">
        <v>45139</v>
      </c>
      <c r="K38" s="45">
        <v>32.636200000000002</v>
      </c>
      <c r="L38" s="45">
        <f t="shared" si="4"/>
        <v>1.0492774125098463</v>
      </c>
      <c r="M38" s="45">
        <f t="shared" si="1"/>
        <v>0.98631845162343679</v>
      </c>
      <c r="N38" s="45">
        <f t="shared" si="6"/>
        <v>0.98244283047683234</v>
      </c>
    </row>
    <row r="39" spans="1:14" x14ac:dyDescent="0.2">
      <c r="A39" s="49">
        <v>45077</v>
      </c>
      <c r="B39" s="46">
        <v>2691.1</v>
      </c>
      <c r="C39" s="45">
        <f t="shared" si="2"/>
        <v>86.520809555194745</v>
      </c>
      <c r="D39" s="45">
        <f t="shared" si="3"/>
        <v>36.050337314664475</v>
      </c>
      <c r="E39" s="45">
        <f t="shared" si="0"/>
        <v>33.404083703375001</v>
      </c>
      <c r="F39" s="45">
        <f t="shared" si="5"/>
        <v>7.3404406405180478E-2</v>
      </c>
      <c r="J39" s="49">
        <v>45108</v>
      </c>
      <c r="K39" s="45">
        <v>30.163799999999998</v>
      </c>
      <c r="L39" s="45">
        <f t="shared" si="4"/>
        <v>0.96978796598453543</v>
      </c>
      <c r="M39" s="45">
        <f t="shared" si="1"/>
        <v>0.99045107303316204</v>
      </c>
      <c r="N39" s="45">
        <f t="shared" si="6"/>
        <v>0.92430880875010679</v>
      </c>
    </row>
    <row r="40" spans="1:14" x14ac:dyDescent="0.2">
      <c r="A40" s="49">
        <v>45044</v>
      </c>
      <c r="B40" s="46">
        <v>2696.91</v>
      </c>
      <c r="C40" s="45">
        <f t="shared" si="2"/>
        <v>86.707605253428071</v>
      </c>
      <c r="D40" s="45">
        <f t="shared" si="3"/>
        <v>36.128168855595028</v>
      </c>
      <c r="E40" s="45">
        <f t="shared" si="0"/>
        <v>32.723062415319994</v>
      </c>
      <c r="F40" s="45">
        <f t="shared" si="5"/>
        <v>9.4250734209234591E-2</v>
      </c>
      <c r="J40" s="49">
        <v>45078</v>
      </c>
      <c r="K40" s="45">
        <v>31.875</v>
      </c>
      <c r="L40" s="45">
        <f t="shared" si="4"/>
        <v>1.0248042824762487</v>
      </c>
      <c r="M40" s="45">
        <f t="shared" si="1"/>
        <v>0.98186277067239036</v>
      </c>
      <c r="N40" s="45">
        <f t="shared" si="6"/>
        <v>0.9080305031693513</v>
      </c>
    </row>
    <row r="41" spans="1:14" x14ac:dyDescent="0.2">
      <c r="A41" s="49">
        <v>45016</v>
      </c>
      <c r="B41" s="46">
        <v>2616.5500000000002</v>
      </c>
      <c r="C41" s="45">
        <f t="shared" si="2"/>
        <v>84.123973186297363</v>
      </c>
      <c r="D41" s="45">
        <f t="shared" si="3"/>
        <v>35.051655494290571</v>
      </c>
      <c r="E41" s="45">
        <f t="shared" si="0"/>
        <v>32.140914145577348</v>
      </c>
      <c r="F41" s="45">
        <f t="shared" si="5"/>
        <v>8.3041480000490789E-2</v>
      </c>
      <c r="J41" s="49">
        <v>45047</v>
      </c>
      <c r="K41" s="45">
        <v>33.921700000000001</v>
      </c>
      <c r="L41" s="45">
        <f t="shared" si="4"/>
        <v>1.0906071663960648</v>
      </c>
      <c r="M41" s="45">
        <f t="shared" si="1"/>
        <v>0.95467667174147164</v>
      </c>
      <c r="N41" s="45">
        <f t="shared" si="6"/>
        <v>0.92385756983891532</v>
      </c>
    </row>
    <row r="42" spans="1:14" x14ac:dyDescent="0.2">
      <c r="A42" s="49">
        <v>44985</v>
      </c>
      <c r="B42" s="46">
        <v>2494.42</v>
      </c>
      <c r="C42" s="45">
        <f t="shared" si="2"/>
        <v>80.197405436687191</v>
      </c>
      <c r="D42" s="45">
        <f t="shared" si="3"/>
        <v>33.415585598619664</v>
      </c>
      <c r="E42" s="45">
        <f t="shared" si="0"/>
        <v>31.822246282316769</v>
      </c>
      <c r="F42" s="45">
        <f t="shared" si="5"/>
        <v>4.7682519631459433E-2</v>
      </c>
      <c r="J42" s="49">
        <v>45017</v>
      </c>
      <c r="K42" s="45">
        <v>32.527500000000003</v>
      </c>
      <c r="L42" s="45">
        <f t="shared" si="4"/>
        <v>1.0457826289645862</v>
      </c>
      <c r="M42" s="45">
        <f t="shared" si="1"/>
        <v>0.93190018243569295</v>
      </c>
      <c r="N42" s="45">
        <f t="shared" si="6"/>
        <v>0.95440494199194226</v>
      </c>
    </row>
    <row r="43" spans="1:14" x14ac:dyDescent="0.2">
      <c r="A43" s="49">
        <v>44957</v>
      </c>
      <c r="B43" s="46">
        <v>2547.59</v>
      </c>
      <c r="C43" s="45">
        <f t="shared" si="2"/>
        <v>81.906859356664043</v>
      </c>
      <c r="D43" s="45">
        <f t="shared" si="3"/>
        <v>34.127858065276683</v>
      </c>
      <c r="E43" s="45">
        <f t="shared" si="0"/>
        <v>31.245843336576787</v>
      </c>
      <c r="F43" s="45">
        <f t="shared" si="5"/>
        <v>8.4447571341495831E-2</v>
      </c>
      <c r="J43" s="49">
        <v>44986</v>
      </c>
      <c r="K43" s="45">
        <v>28.5656</v>
      </c>
      <c r="L43" s="45">
        <f t="shared" si="4"/>
        <v>0.91840468114520868</v>
      </c>
      <c r="M43" s="45">
        <f t="shared" si="1"/>
        <v>0.93527405775831385</v>
      </c>
      <c r="N43" s="45">
        <f t="shared" si="6"/>
        <v>0.90804971590933792</v>
      </c>
    </row>
    <row r="44" spans="1:14" x14ac:dyDescent="0.2">
      <c r="A44" s="49">
        <v>44925</v>
      </c>
      <c r="B44" s="46">
        <v>2442.9499999999998</v>
      </c>
      <c r="C44" s="45">
        <f t="shared" si="2"/>
        <v>78.542607745109066</v>
      </c>
      <c r="D44" s="45">
        <f t="shared" si="3"/>
        <v>32.726086560462107</v>
      </c>
      <c r="E44" s="45">
        <f t="shared" si="0"/>
        <v>30.875782530605452</v>
      </c>
      <c r="F44" s="45">
        <f t="shared" si="5"/>
        <v>5.6539116781903674E-2</v>
      </c>
      <c r="J44" s="49">
        <v>44958</v>
      </c>
      <c r="K44" s="45">
        <v>31.541899999999998</v>
      </c>
      <c r="L44" s="45">
        <f t="shared" si="4"/>
        <v>1.0140948767823557</v>
      </c>
      <c r="M44" s="45">
        <f t="shared" si="1"/>
        <v>0.91556885300230328</v>
      </c>
      <c r="N44" s="45">
        <f t="shared" si="6"/>
        <v>0.94424671884617151</v>
      </c>
    </row>
    <row r="45" spans="1:14" x14ac:dyDescent="0.2">
      <c r="A45" s="49">
        <v>44895</v>
      </c>
      <c r="B45" s="46">
        <v>2320.0300000000002</v>
      </c>
      <c r="C45" s="45">
        <f t="shared" si="2"/>
        <v>74.590640924654792</v>
      </c>
      <c r="D45" s="45">
        <f t="shared" si="3"/>
        <v>31.079433718606161</v>
      </c>
      <c r="E45" s="45">
        <f t="shared" ref="E45:E65" si="7">($T$1*D46) + ((1-$T$1)*E46)</f>
        <v>30.824869733605276</v>
      </c>
      <c r="F45" s="45">
        <f t="shared" si="5"/>
        <v>8.1907536445391185E-3</v>
      </c>
      <c r="J45" s="49">
        <v>44927</v>
      </c>
      <c r="K45" s="45">
        <v>32.502099999999999</v>
      </c>
      <c r="L45" s="45">
        <f t="shared" si="4"/>
        <v>1.0449660006108636</v>
      </c>
      <c r="M45" s="45">
        <f t="shared" ref="M45:M76" si="8">($T$1*L46) + ((1-$T$1)*M46)</f>
        <v>0.88321956610016317</v>
      </c>
      <c r="N45" s="45">
        <f t="shared" si="6"/>
        <v>0.99216170321354857</v>
      </c>
    </row>
    <row r="46" spans="1:14" x14ac:dyDescent="0.2">
      <c r="A46" s="49">
        <v>44865</v>
      </c>
      <c r="B46" s="46">
        <v>2279.81</v>
      </c>
      <c r="C46" s="45">
        <f t="shared" si="2"/>
        <v>73.297538862185931</v>
      </c>
      <c r="D46" s="45">
        <f t="shared" si="3"/>
        <v>30.540641192577471</v>
      </c>
      <c r="E46" s="45">
        <f t="shared" si="7"/>
        <v>30.895926868862226</v>
      </c>
      <c r="F46" s="45">
        <f t="shared" si="5"/>
        <v>1.1633209468146418E-2</v>
      </c>
      <c r="J46" s="49">
        <v>44896</v>
      </c>
      <c r="K46" s="45">
        <v>29.745000000000001</v>
      </c>
      <c r="L46" s="45">
        <f t="shared" ref="L46:L77" si="9">K46/(31.1035)</f>
        <v>0.9563232433648946</v>
      </c>
      <c r="M46" s="45">
        <f t="shared" si="8"/>
        <v>0.86494364678398017</v>
      </c>
      <c r="N46" s="45">
        <f t="shared" si="6"/>
        <v>0.98783548392360088</v>
      </c>
    </row>
    <row r="47" spans="1:14" x14ac:dyDescent="0.2">
      <c r="A47" s="49">
        <v>44834</v>
      </c>
      <c r="B47" s="46">
        <v>2243.73</v>
      </c>
      <c r="C47" s="45">
        <f t="shared" si="2"/>
        <v>72.137540791229284</v>
      </c>
      <c r="D47" s="45">
        <f t="shared" si="3"/>
        <v>30.057308663012204</v>
      </c>
      <c r="E47" s="45">
        <f t="shared" si="7"/>
        <v>31.105581420324729</v>
      </c>
      <c r="F47" s="45">
        <f t="shared" si="5"/>
        <v>3.4875802390202139E-2</v>
      </c>
      <c r="J47" s="49">
        <v>44866</v>
      </c>
      <c r="K47" s="45">
        <v>26.105799999999999</v>
      </c>
      <c r="L47" s="45">
        <f t="shared" si="9"/>
        <v>0.83932033372450043</v>
      </c>
      <c r="M47" s="45">
        <f t="shared" si="8"/>
        <v>0.87134947504885008</v>
      </c>
      <c r="N47" s="45">
        <f t="shared" si="6"/>
        <v>0.9584475664548241</v>
      </c>
    </row>
    <row r="48" spans="1:14" x14ac:dyDescent="0.2">
      <c r="A48" s="49">
        <v>44804</v>
      </c>
      <c r="B48" s="46">
        <v>2279.86</v>
      </c>
      <c r="C48" s="45">
        <f t="shared" si="2"/>
        <v>73.299146398315301</v>
      </c>
      <c r="D48" s="45">
        <f t="shared" si="3"/>
        <v>30.541310999298044</v>
      </c>
      <c r="E48" s="45">
        <f t="shared" si="7"/>
        <v>31.246649025581398</v>
      </c>
      <c r="F48" s="45">
        <f t="shared" si="5"/>
        <v>2.309455629784736E-2</v>
      </c>
      <c r="J48" s="49">
        <v>44835</v>
      </c>
      <c r="K48" s="45">
        <v>26.2928</v>
      </c>
      <c r="L48" s="45">
        <f t="shared" si="9"/>
        <v>0.84533251884836114</v>
      </c>
      <c r="M48" s="45">
        <f t="shared" si="8"/>
        <v>0.87785371409897217</v>
      </c>
      <c r="N48" s="45">
        <f t="shared" si="6"/>
        <v>0.97267991496492967</v>
      </c>
    </row>
    <row r="49" spans="1:14" x14ac:dyDescent="0.2">
      <c r="A49" s="49">
        <v>44771</v>
      </c>
      <c r="B49" s="46">
        <v>2246.75</v>
      </c>
      <c r="C49" s="45">
        <f t="shared" si="2"/>
        <v>72.234635973443503</v>
      </c>
      <c r="D49" s="45">
        <f t="shared" si="3"/>
        <v>30.097764988934795</v>
      </c>
      <c r="E49" s="45">
        <f t="shared" si="7"/>
        <v>31.533870034743046</v>
      </c>
      <c r="F49" s="45">
        <f t="shared" si="5"/>
        <v>4.7714674040953656E-2</v>
      </c>
      <c r="J49" s="49">
        <v>44805</v>
      </c>
      <c r="K49" s="45">
        <v>23.431799999999999</v>
      </c>
      <c r="L49" s="45">
        <f t="shared" si="9"/>
        <v>0.7533493015255518</v>
      </c>
      <c r="M49" s="45">
        <f t="shared" si="8"/>
        <v>0.90897981724232724</v>
      </c>
      <c r="N49" s="45">
        <f t="shared" si="6"/>
        <v>0.93666327964420992</v>
      </c>
    </row>
    <row r="50" spans="1:14" x14ac:dyDescent="0.2">
      <c r="A50" s="49">
        <v>44742</v>
      </c>
      <c r="B50" s="46">
        <v>2353.9499999999998</v>
      </c>
      <c r="C50" s="45">
        <f t="shared" si="2"/>
        <v>75.681193434822447</v>
      </c>
      <c r="D50" s="45">
        <f t="shared" si="3"/>
        <v>31.533830597842684</v>
      </c>
      <c r="E50" s="45">
        <f t="shared" si="7"/>
        <v>31.533879893968134</v>
      </c>
      <c r="F50" s="45">
        <f t="shared" si="5"/>
        <v>1.5632774235014512E-6</v>
      </c>
      <c r="J50" s="49">
        <v>44774</v>
      </c>
      <c r="K50" s="45">
        <v>26.1599</v>
      </c>
      <c r="L50" s="45">
        <f t="shared" si="9"/>
        <v>0.84105968781648366</v>
      </c>
      <c r="M50" s="45">
        <f t="shared" si="8"/>
        <v>0.92595984959878808</v>
      </c>
      <c r="N50" s="45">
        <f t="shared" si="6"/>
        <v>0.99999814130025944</v>
      </c>
    </row>
    <row r="51" spans="1:14" x14ac:dyDescent="0.2">
      <c r="A51" s="49">
        <v>44712</v>
      </c>
      <c r="B51" s="46">
        <v>2374.94</v>
      </c>
      <c r="C51" s="45">
        <f t="shared" si="2"/>
        <v>76.356037101933865</v>
      </c>
      <c r="D51" s="45">
        <f t="shared" si="3"/>
        <v>31.815015459139108</v>
      </c>
      <c r="E51" s="45">
        <f t="shared" si="7"/>
        <v>31.463596002675388</v>
      </c>
      <c r="F51" s="45">
        <f t="shared" si="5"/>
        <v>1.1045710693274931E-2</v>
      </c>
      <c r="J51" s="49">
        <v>44743</v>
      </c>
      <c r="K51" s="45">
        <v>25.648199999999999</v>
      </c>
      <c r="L51" s="45">
        <f t="shared" si="9"/>
        <v>0.82460816306846496</v>
      </c>
      <c r="M51" s="45">
        <f t="shared" si="8"/>
        <v>0.95129777123136883</v>
      </c>
      <c r="N51" s="45">
        <f t="shared" si="6"/>
        <v>0.98660489771023785</v>
      </c>
    </row>
    <row r="52" spans="1:14" x14ac:dyDescent="0.2">
      <c r="A52" s="49">
        <v>44680</v>
      </c>
      <c r="B52" s="46">
        <v>2442.59</v>
      </c>
      <c r="C52" s="45">
        <f t="shared" si="2"/>
        <v>78.531033484977584</v>
      </c>
      <c r="D52" s="45">
        <f t="shared" si="3"/>
        <v>32.721263952073997</v>
      </c>
      <c r="E52" s="45">
        <f t="shared" si="7"/>
        <v>31.149179015325736</v>
      </c>
      <c r="F52" s="45">
        <f t="shared" si="5"/>
        <v>4.804474970926717E-2</v>
      </c>
      <c r="J52" s="49">
        <v>44713</v>
      </c>
      <c r="K52" s="45">
        <v>27.626100000000001</v>
      </c>
      <c r="L52" s="45">
        <f t="shared" si="9"/>
        <v>0.88819907727426173</v>
      </c>
      <c r="M52" s="45">
        <f t="shared" si="8"/>
        <v>0.96707244472064546</v>
      </c>
      <c r="N52" s="45">
        <f t="shared" si="6"/>
        <v>0.94590767887677984</v>
      </c>
    </row>
    <row r="53" spans="1:14" x14ac:dyDescent="0.2">
      <c r="A53" s="49">
        <v>44651</v>
      </c>
      <c r="B53" s="46">
        <v>2465.77</v>
      </c>
      <c r="C53" s="45">
        <f t="shared" si="2"/>
        <v>79.276287234555596</v>
      </c>
      <c r="D53" s="45">
        <f t="shared" si="3"/>
        <v>33.031786347731497</v>
      </c>
      <c r="E53" s="45">
        <f t="shared" si="7"/>
        <v>30.67852718222429</v>
      </c>
      <c r="F53" s="45">
        <f t="shared" si="5"/>
        <v>7.1242261642589635E-2</v>
      </c>
      <c r="J53" s="49">
        <v>44682</v>
      </c>
      <c r="K53" s="45">
        <v>29.2379</v>
      </c>
      <c r="L53" s="45">
        <f t="shared" si="9"/>
        <v>0.94001961194077832</v>
      </c>
      <c r="M53" s="45">
        <f t="shared" si="8"/>
        <v>0.97383565291561214</v>
      </c>
      <c r="N53" s="45">
        <f t="shared" si="6"/>
        <v>0.92421194117907624</v>
      </c>
    </row>
    <row r="54" spans="1:14" x14ac:dyDescent="0.2">
      <c r="A54" s="49">
        <v>44620</v>
      </c>
      <c r="B54" s="46">
        <v>2360.4899999999998</v>
      </c>
      <c r="C54" s="45">
        <f t="shared" si="2"/>
        <v>75.891459160544628</v>
      </c>
      <c r="D54" s="45">
        <f t="shared" si="3"/>
        <v>31.621441316893595</v>
      </c>
      <c r="E54" s="45">
        <f t="shared" si="7"/>
        <v>30.442798648556963</v>
      </c>
      <c r="F54" s="45">
        <f t="shared" si="5"/>
        <v>3.727352768410807E-2</v>
      </c>
      <c r="J54" s="49">
        <v>44652</v>
      </c>
      <c r="K54" s="45">
        <v>31.011199999999999</v>
      </c>
      <c r="L54" s="45">
        <f t="shared" si="9"/>
        <v>0.99703248830517466</v>
      </c>
      <c r="M54" s="45">
        <f t="shared" si="8"/>
        <v>0.96803644406822142</v>
      </c>
      <c r="N54" s="45">
        <f t="shared" si="6"/>
        <v>0.96261553347427198</v>
      </c>
    </row>
    <row r="55" spans="1:14" x14ac:dyDescent="0.2">
      <c r="A55" s="49">
        <v>44592</v>
      </c>
      <c r="B55" s="46">
        <v>2291.5</v>
      </c>
      <c r="C55" s="45">
        <f t="shared" si="2"/>
        <v>73.673380809233691</v>
      </c>
      <c r="D55" s="45">
        <f t="shared" si="3"/>
        <v>30.697242003847371</v>
      </c>
      <c r="E55" s="45">
        <f t="shared" si="7"/>
        <v>30.379187809734358</v>
      </c>
      <c r="F55" s="45">
        <f t="shared" si="5"/>
        <v>1.0361002270925547E-2</v>
      </c>
      <c r="J55" s="49">
        <v>44621</v>
      </c>
      <c r="K55" s="45">
        <v>31.005299999999998</v>
      </c>
      <c r="L55" s="45">
        <f t="shared" si="9"/>
        <v>0.99684279904190842</v>
      </c>
      <c r="M55" s="45">
        <f t="shared" si="8"/>
        <v>0.96083485532479973</v>
      </c>
      <c r="N55" s="45">
        <f t="shared" si="6"/>
        <v>0.98960618235805708</v>
      </c>
    </row>
    <row r="56" spans="1:14" x14ac:dyDescent="0.2">
      <c r="A56" s="49">
        <v>44561</v>
      </c>
      <c r="B56" s="46">
        <v>2287.09</v>
      </c>
      <c r="C56" s="45">
        <f t="shared" si="2"/>
        <v>73.531596122622858</v>
      </c>
      <c r="D56" s="45">
        <f t="shared" si="3"/>
        <v>30.638165051092855</v>
      </c>
      <c r="E56" s="45">
        <f t="shared" si="7"/>
        <v>30.314443499394731</v>
      </c>
      <c r="F56" s="45">
        <f t="shared" si="5"/>
        <v>1.0565957561697299E-2</v>
      </c>
      <c r="J56" s="49">
        <v>44593</v>
      </c>
      <c r="K56" s="45">
        <v>28.561299999999999</v>
      </c>
      <c r="L56" s="45">
        <f t="shared" si="9"/>
        <v>0.91826643303808253</v>
      </c>
      <c r="M56" s="45">
        <f t="shared" si="8"/>
        <v>0.97147696089647895</v>
      </c>
      <c r="N56" s="45">
        <f t="shared" si="6"/>
        <v>0.98849358183905311</v>
      </c>
    </row>
    <row r="57" spans="1:14" x14ac:dyDescent="0.2">
      <c r="A57" s="49">
        <v>44530</v>
      </c>
      <c r="B57" s="46">
        <v>2288.65</v>
      </c>
      <c r="C57" s="45">
        <f t="shared" si="2"/>
        <v>73.581751249859337</v>
      </c>
      <c r="D57" s="45">
        <f t="shared" si="3"/>
        <v>30.659063020774724</v>
      </c>
      <c r="E57" s="45">
        <f t="shared" si="7"/>
        <v>30.228288619049732</v>
      </c>
      <c r="F57" s="45">
        <f t="shared" si="5"/>
        <v>1.4050475105292606E-2</v>
      </c>
      <c r="J57" s="49">
        <v>44562</v>
      </c>
      <c r="K57" s="45">
        <v>29.4283</v>
      </c>
      <c r="L57" s="45">
        <f t="shared" si="9"/>
        <v>0.94614110952143649</v>
      </c>
      <c r="M57" s="45">
        <f t="shared" si="8"/>
        <v>0.97781092374023948</v>
      </c>
      <c r="N57" s="45">
        <f t="shared" si="6"/>
        <v>0.98514970445328254</v>
      </c>
    </row>
    <row r="58" spans="1:14" x14ac:dyDescent="0.2">
      <c r="A58" s="49">
        <v>44498</v>
      </c>
      <c r="B58" s="46">
        <v>2210.15</v>
      </c>
      <c r="C58" s="45">
        <f t="shared" si="2"/>
        <v>71.057919526741372</v>
      </c>
      <c r="D58" s="45">
        <f t="shared" si="3"/>
        <v>29.607466469475572</v>
      </c>
      <c r="E58" s="45">
        <f t="shared" si="7"/>
        <v>30.38349415644327</v>
      </c>
      <c r="F58" s="45">
        <f t="shared" si="5"/>
        <v>2.6210540093586178E-2</v>
      </c>
      <c r="J58" s="49">
        <v>44531</v>
      </c>
      <c r="K58" s="45">
        <v>29.184999999999999</v>
      </c>
      <c r="L58" s="45">
        <f t="shared" si="9"/>
        <v>0.93831883871590005</v>
      </c>
      <c r="M58" s="45">
        <f t="shared" si="8"/>
        <v>0.98768394499632417</v>
      </c>
      <c r="N58" s="45">
        <f t="shared" si="6"/>
        <v>0.972066488476928</v>
      </c>
    </row>
    <row r="59" spans="1:14" x14ac:dyDescent="0.2">
      <c r="A59" s="49">
        <v>44469</v>
      </c>
      <c r="B59" s="46">
        <v>2250.67</v>
      </c>
      <c r="C59" s="45">
        <f t="shared" si="2"/>
        <v>72.360666805986469</v>
      </c>
      <c r="D59" s="45">
        <f t="shared" si="3"/>
        <v>30.150277835827698</v>
      </c>
      <c r="E59" s="45">
        <f t="shared" si="7"/>
        <v>30.441798236597158</v>
      </c>
      <c r="F59" s="45">
        <f t="shared" si="5"/>
        <v>9.6689125837190679E-3</v>
      </c>
      <c r="J59" s="49">
        <v>44501</v>
      </c>
      <c r="K59" s="45">
        <v>29.596900000000002</v>
      </c>
      <c r="L59" s="45">
        <f t="shared" si="9"/>
        <v>0.95156172134968742</v>
      </c>
      <c r="M59" s="45">
        <f t="shared" si="8"/>
        <v>0.9967145009079833</v>
      </c>
      <c r="N59" s="45">
        <f t="shared" si="6"/>
        <v>0.98983890128534724</v>
      </c>
    </row>
    <row r="60" spans="1:14" x14ac:dyDescent="0.2">
      <c r="A60" s="49">
        <v>44439</v>
      </c>
      <c r="B60" s="46">
        <v>2247.7199999999998</v>
      </c>
      <c r="C60" s="45">
        <f t="shared" si="2"/>
        <v>72.26582217435336</v>
      </c>
      <c r="D60" s="45">
        <f t="shared" si="3"/>
        <v>30.1107592393139</v>
      </c>
      <c r="E60" s="45">
        <f t="shared" si="7"/>
        <v>30.524557985917969</v>
      </c>
      <c r="F60" s="45">
        <f t="shared" si="5"/>
        <v>1.3742554391115974E-2</v>
      </c>
      <c r="J60" s="49">
        <v>44470</v>
      </c>
      <c r="K60" s="45">
        <v>28.507899999999999</v>
      </c>
      <c r="L60" s="45">
        <f t="shared" si="9"/>
        <v>0.91654958445191048</v>
      </c>
      <c r="M60" s="45">
        <f t="shared" si="8"/>
        <v>1.0167557300220014</v>
      </c>
      <c r="N60" s="45">
        <f t="shared" si="6"/>
        <v>0.98500620738447675</v>
      </c>
    </row>
    <row r="61" spans="1:14" x14ac:dyDescent="0.2">
      <c r="A61" s="49">
        <v>44407</v>
      </c>
      <c r="B61" s="46">
        <v>2263.14</v>
      </c>
      <c r="C61" s="45">
        <f t="shared" si="2"/>
        <v>72.761586316652455</v>
      </c>
      <c r="D61" s="45">
        <f t="shared" si="3"/>
        <v>30.317327631938525</v>
      </c>
      <c r="E61" s="45">
        <f t="shared" si="7"/>
        <v>30.576365574412829</v>
      </c>
      <c r="F61" s="45">
        <f t="shared" si="5"/>
        <v>8.5442208369782002E-3</v>
      </c>
      <c r="J61" s="49">
        <v>44440</v>
      </c>
      <c r="K61" s="45">
        <v>30.459900000000001</v>
      </c>
      <c r="L61" s="45">
        <f t="shared" si="9"/>
        <v>0.97930779494269138</v>
      </c>
      <c r="M61" s="45">
        <f t="shared" si="8"/>
        <v>1.0261177137918289</v>
      </c>
      <c r="N61" s="45">
        <f t="shared" si="6"/>
        <v>0.99127524473806716</v>
      </c>
    </row>
    <row r="62" spans="1:14" x14ac:dyDescent="0.2">
      <c r="A62" s="49">
        <v>44377</v>
      </c>
      <c r="B62" s="46">
        <v>2241.52</v>
      </c>
      <c r="C62" s="45">
        <f t="shared" si="2"/>
        <v>72.066487694310922</v>
      </c>
      <c r="D62" s="45">
        <f t="shared" si="3"/>
        <v>30.027703205962887</v>
      </c>
      <c r="E62" s="45">
        <f t="shared" si="7"/>
        <v>30.713531166525314</v>
      </c>
      <c r="F62" s="45">
        <f t="shared" si="5"/>
        <v>2.2839840791627253E-2</v>
      </c>
      <c r="J62" s="49">
        <v>44409</v>
      </c>
      <c r="K62" s="45">
        <v>31.809000000000001</v>
      </c>
      <c r="L62" s="45">
        <f t="shared" si="9"/>
        <v>1.0226823347854743</v>
      </c>
      <c r="M62" s="45">
        <f t="shared" si="8"/>
        <v>1.0269765585434176</v>
      </c>
      <c r="N62" s="45">
        <f t="shared" si="6"/>
        <v>0.97766672991724424</v>
      </c>
    </row>
    <row r="63" spans="1:14" x14ac:dyDescent="0.2">
      <c r="A63" s="49">
        <v>44347</v>
      </c>
      <c r="B63" s="46">
        <v>2245.94</v>
      </c>
      <c r="C63" s="45">
        <f t="shared" si="2"/>
        <v>72.208593888147632</v>
      </c>
      <c r="D63" s="45">
        <f t="shared" si="3"/>
        <v>30.086914120061511</v>
      </c>
      <c r="E63" s="45">
        <f t="shared" si="7"/>
        <v>30.870185428141266</v>
      </c>
      <c r="F63" s="45">
        <f t="shared" si="5"/>
        <v>2.603362062836085E-2</v>
      </c>
      <c r="J63" s="49">
        <v>44378</v>
      </c>
      <c r="K63" s="45">
        <v>32.369900000000001</v>
      </c>
      <c r="L63" s="45">
        <f t="shared" si="9"/>
        <v>1.0407156750847975</v>
      </c>
      <c r="M63" s="45">
        <f t="shared" si="8"/>
        <v>1.0235417794080726</v>
      </c>
      <c r="N63" s="45">
        <f t="shared" si="6"/>
        <v>0.97498488660100202</v>
      </c>
    </row>
    <row r="64" spans="1:14" x14ac:dyDescent="0.2">
      <c r="A64" s="49">
        <v>44316</v>
      </c>
      <c r="B64" s="46">
        <v>2200.42</v>
      </c>
      <c r="C64" s="45">
        <f t="shared" si="2"/>
        <v>70.745092995965081</v>
      </c>
      <c r="D64" s="45">
        <f t="shared" si="3"/>
        <v>29.477122081652119</v>
      </c>
      <c r="E64" s="45">
        <f t="shared" si="7"/>
        <v>31.218451264763551</v>
      </c>
      <c r="F64" s="45">
        <f t="shared" si="5"/>
        <v>5.9073921066239821E-2</v>
      </c>
      <c r="J64" s="49">
        <v>44348</v>
      </c>
      <c r="K64" s="45">
        <v>33.684199999999997</v>
      </c>
      <c r="L64" s="45">
        <f t="shared" si="9"/>
        <v>1.0829713697815357</v>
      </c>
      <c r="M64" s="45">
        <f t="shared" si="8"/>
        <v>1.0086843818147067</v>
      </c>
      <c r="N64" s="45">
        <f t="shared" si="6"/>
        <v>0.94545200111970029</v>
      </c>
    </row>
    <row r="65" spans="1:14" x14ac:dyDescent="0.2">
      <c r="A65" s="49">
        <v>44286</v>
      </c>
      <c r="B65" s="46">
        <v>2160.38</v>
      </c>
      <c r="C65" s="45">
        <f t="shared" si="2"/>
        <v>69.457778063561975</v>
      </c>
      <c r="D65" s="45">
        <f t="shared" si="3"/>
        <v>28.940740859817492</v>
      </c>
      <c r="E65" s="45">
        <f t="shared" si="7"/>
        <v>31.787878866000064</v>
      </c>
      <c r="F65" s="45">
        <f t="shared" si="5"/>
        <v>9.8378200474323538E-2</v>
      </c>
      <c r="J65" s="49">
        <v>44317</v>
      </c>
      <c r="K65" s="45">
        <v>31.859200000000001</v>
      </c>
      <c r="L65" s="45">
        <f t="shared" si="9"/>
        <v>1.0242963010593664</v>
      </c>
      <c r="M65" s="45">
        <f t="shared" si="8"/>
        <v>1.0047814020035417</v>
      </c>
      <c r="N65" s="45">
        <f t="shared" si="6"/>
        <v>0.90395532974923654</v>
      </c>
    </row>
    <row r="66" spans="1:14" x14ac:dyDescent="0.2">
      <c r="A66" s="49">
        <v>44253</v>
      </c>
      <c r="B66" s="46">
        <v>2295.44</v>
      </c>
      <c r="C66" s="45">
        <f t="shared" si="2"/>
        <v>73.800054656228397</v>
      </c>
      <c r="D66" s="45">
        <f t="shared" si="3"/>
        <v>30.750022773428501</v>
      </c>
      <c r="E66" s="45">
        <f t="shared" ref="E66:E129" si="10">($T$1*D67) + ((1-$T$1)*E67)</f>
        <v>32.047342889142953</v>
      </c>
      <c r="F66" s="45">
        <f t="shared" si="5"/>
        <v>4.2189240810432301E-2</v>
      </c>
      <c r="J66" s="49">
        <v>44287</v>
      </c>
      <c r="K66" s="45">
        <v>30.670200000000001</v>
      </c>
      <c r="L66" s="45">
        <f t="shared" si="9"/>
        <v>0.98606909190284053</v>
      </c>
      <c r="M66" s="45">
        <f t="shared" si="8"/>
        <v>1.0094594795287171</v>
      </c>
      <c r="N66" s="45">
        <f t="shared" si="6"/>
        <v>0.95721472140555719</v>
      </c>
    </row>
    <row r="67" spans="1:14" x14ac:dyDescent="0.2">
      <c r="A67" s="49">
        <v>44225</v>
      </c>
      <c r="B67" s="46">
        <v>2375.0500000000002</v>
      </c>
      <c r="C67" s="45">
        <f t="shared" si="2"/>
        <v>76.359573681418496</v>
      </c>
      <c r="D67" s="45">
        <f t="shared" si="3"/>
        <v>31.816489033924373</v>
      </c>
      <c r="E67" s="45">
        <f t="shared" si="10"/>
        <v>32.105056352947599</v>
      </c>
      <c r="F67" s="45">
        <f t="shared" si="5"/>
        <v>9.0697411243440725E-3</v>
      </c>
      <c r="J67" s="49">
        <v>44256</v>
      </c>
      <c r="K67" s="45">
        <v>33.894100000000002</v>
      </c>
      <c r="L67" s="45">
        <f t="shared" si="9"/>
        <v>1.0897198064526501</v>
      </c>
      <c r="M67" s="45">
        <f t="shared" si="8"/>
        <v>0.98939439779773375</v>
      </c>
      <c r="N67" s="45">
        <f t="shared" si="6"/>
        <v>0.99167699708618795</v>
      </c>
    </row>
    <row r="68" spans="1:14" x14ac:dyDescent="0.2">
      <c r="A68" s="49">
        <v>44196</v>
      </c>
      <c r="B68" s="46">
        <v>2377.35</v>
      </c>
      <c r="C68" s="45">
        <f t="shared" si="2"/>
        <v>76.433520343369707</v>
      </c>
      <c r="D68" s="45">
        <f t="shared" si="3"/>
        <v>31.847300143070711</v>
      </c>
      <c r="E68" s="45">
        <f t="shared" si="10"/>
        <v>32.169495405416818</v>
      </c>
      <c r="F68" s="45">
        <f t="shared" si="5"/>
        <v>1.0116878382113316E-2</v>
      </c>
      <c r="J68" s="49">
        <v>44228</v>
      </c>
      <c r="K68" s="45">
        <v>34.531799999999997</v>
      </c>
      <c r="L68" s="45">
        <f t="shared" si="9"/>
        <v>1.1102223222466925</v>
      </c>
      <c r="M68" s="45">
        <f t="shared" si="8"/>
        <v>0.95918741668549412</v>
      </c>
      <c r="N68" s="45">
        <f t="shared" si="6"/>
        <v>0.99088752029265603</v>
      </c>
    </row>
    <row r="69" spans="1:14" x14ac:dyDescent="0.2">
      <c r="A69" s="49">
        <v>44165</v>
      </c>
      <c r="B69" s="46">
        <v>2435.3000000000002</v>
      </c>
      <c r="C69" s="45">
        <f t="shared" si="2"/>
        <v>78.29665471731478</v>
      </c>
      <c r="D69" s="45">
        <f t="shared" si="3"/>
        <v>32.623606132214491</v>
      </c>
      <c r="E69" s="45">
        <f t="shared" si="10"/>
        <v>32.055967723717401</v>
      </c>
      <c r="F69" s="45">
        <f t="shared" si="5"/>
        <v>1.739962180136086E-2</v>
      </c>
      <c r="J69" s="49">
        <v>44197</v>
      </c>
      <c r="K69" s="45">
        <v>33.584699999999998</v>
      </c>
      <c r="L69" s="45">
        <f t="shared" si="9"/>
        <v>1.0797723728840805</v>
      </c>
      <c r="M69" s="45">
        <f t="shared" si="8"/>
        <v>0.92904117763584759</v>
      </c>
      <c r="N69" s="45">
        <f t="shared" si="6"/>
        <v>0.9838858427587972</v>
      </c>
    </row>
    <row r="70" spans="1:14" x14ac:dyDescent="0.2">
      <c r="A70" s="49">
        <v>44134</v>
      </c>
      <c r="B70" s="46">
        <v>2509.98</v>
      </c>
      <c r="C70" s="45">
        <f t="shared" si="2"/>
        <v>80.697670680148534</v>
      </c>
      <c r="D70" s="45">
        <f t="shared" si="3"/>
        <v>33.62402945006189</v>
      </c>
      <c r="E70" s="45">
        <f t="shared" si="10"/>
        <v>31.663952292131274</v>
      </c>
      <c r="F70" s="45">
        <f t="shared" si="5"/>
        <v>5.8293940077637198E-2</v>
      </c>
      <c r="J70" s="49">
        <v>44166</v>
      </c>
      <c r="K70" s="45">
        <v>29.430099999999999</v>
      </c>
      <c r="L70" s="45">
        <f t="shared" si="9"/>
        <v>0.94619898082209397</v>
      </c>
      <c r="M70" s="45">
        <f t="shared" si="8"/>
        <v>0.92475172683928597</v>
      </c>
      <c r="N70" s="45">
        <f t="shared" si="6"/>
        <v>0.93839145754840148</v>
      </c>
    </row>
    <row r="71" spans="1:14" x14ac:dyDescent="0.2">
      <c r="A71" s="49">
        <v>44104</v>
      </c>
      <c r="B71" s="46">
        <v>2541.34</v>
      </c>
      <c r="C71" s="45">
        <f t="shared" si="2"/>
        <v>81.705917340492235</v>
      </c>
      <c r="D71" s="45">
        <f t="shared" si="3"/>
        <v>34.044132225205097</v>
      </c>
      <c r="E71" s="45">
        <f t="shared" si="10"/>
        <v>31.068907308862816</v>
      </c>
      <c r="F71" s="45">
        <f t="shared" si="5"/>
        <v>8.7393178262288845E-2</v>
      </c>
      <c r="J71" s="49">
        <v>44136</v>
      </c>
      <c r="K71" s="45">
        <v>31.498999999999999</v>
      </c>
      <c r="L71" s="45">
        <f t="shared" si="9"/>
        <v>1.0127156107833524</v>
      </c>
      <c r="M71" s="45">
        <f t="shared" si="8"/>
        <v>0.90276075585326931</v>
      </c>
      <c r="N71" s="45">
        <f t="shared" si="6"/>
        <v>0.913704126477631</v>
      </c>
    </row>
    <row r="72" spans="1:14" x14ac:dyDescent="0.2">
      <c r="A72" s="49">
        <v>44074</v>
      </c>
      <c r="B72" s="46">
        <v>2606.7600000000002</v>
      </c>
      <c r="C72" s="45">
        <f t="shared" si="2"/>
        <v>83.809217612165838</v>
      </c>
      <c r="D72" s="45">
        <f t="shared" si="3"/>
        <v>34.92050733840243</v>
      </c>
      <c r="E72" s="45">
        <f t="shared" si="10"/>
        <v>30.106007301477909</v>
      </c>
      <c r="F72" s="45">
        <f t="shared" si="5"/>
        <v>0.13787027749250272</v>
      </c>
      <c r="J72" s="49">
        <v>44105</v>
      </c>
      <c r="K72" s="45">
        <v>31.630099999999999</v>
      </c>
      <c r="L72" s="45">
        <f t="shared" si="9"/>
        <v>1.0169305705145724</v>
      </c>
      <c r="M72" s="45">
        <f t="shared" si="8"/>
        <v>0.8742183021879435</v>
      </c>
      <c r="N72" s="45">
        <f t="shared" si="6"/>
        <v>0.86442508319644717</v>
      </c>
    </row>
    <row r="73" spans="1:14" x14ac:dyDescent="0.2">
      <c r="A73" s="49">
        <v>44043</v>
      </c>
      <c r="B73" s="46">
        <v>2488.06</v>
      </c>
      <c r="C73" s="45">
        <f t="shared" si="2"/>
        <v>79.992926841030751</v>
      </c>
      <c r="D73" s="45">
        <f t="shared" si="3"/>
        <v>33.330386183762812</v>
      </c>
      <c r="E73" s="45">
        <f t="shared" si="10"/>
        <v>29.299912580906682</v>
      </c>
      <c r="F73" s="45">
        <f t="shared" si="5"/>
        <v>0.12092489959866143</v>
      </c>
      <c r="J73" s="49">
        <v>44075</v>
      </c>
      <c r="K73" s="45">
        <v>36.742600000000003</v>
      </c>
      <c r="L73" s="45">
        <f t="shared" si="9"/>
        <v>1.1813011397431159</v>
      </c>
      <c r="M73" s="45">
        <f t="shared" si="8"/>
        <v>0.79744759279915023</v>
      </c>
      <c r="N73" s="45">
        <f t="shared" si="6"/>
        <v>0.89763414634057026</v>
      </c>
    </row>
    <row r="74" spans="1:14" x14ac:dyDescent="0.2">
      <c r="A74" s="49">
        <v>44012</v>
      </c>
      <c r="B74" s="46">
        <v>2347.09</v>
      </c>
      <c r="C74" s="45">
        <f t="shared" si="2"/>
        <v>75.460639477872263</v>
      </c>
      <c r="D74" s="45">
        <f t="shared" si="3"/>
        <v>31.44193311578011</v>
      </c>
      <c r="E74" s="45">
        <f t="shared" si="10"/>
        <v>28.764407447188322</v>
      </c>
      <c r="F74" s="45">
        <f t="shared" si="5"/>
        <v>8.5157794170358694E-2</v>
      </c>
      <c r="J74" s="49">
        <v>44044</v>
      </c>
      <c r="K74" s="45">
        <v>32.718600000000002</v>
      </c>
      <c r="L74" s="45">
        <f t="shared" si="9"/>
        <v>1.0519266320510554</v>
      </c>
      <c r="M74" s="45">
        <f t="shared" si="8"/>
        <v>0.73382783298617382</v>
      </c>
      <c r="N74" s="45">
        <f t="shared" si="6"/>
        <v>0.91904588060070558</v>
      </c>
    </row>
    <row r="75" spans="1:14" x14ac:dyDescent="0.2">
      <c r="A75" s="49">
        <v>43980</v>
      </c>
      <c r="B75" s="46">
        <v>2398.37</v>
      </c>
      <c r="C75" s="45">
        <f t="shared" si="2"/>
        <v>77.109328532158756</v>
      </c>
      <c r="D75" s="45">
        <f t="shared" si="3"/>
        <v>32.128886888399478</v>
      </c>
      <c r="E75" s="45">
        <f t="shared" si="10"/>
        <v>27.923287586885532</v>
      </c>
      <c r="F75" s="45">
        <f t="shared" si="5"/>
        <v>0.13089775926947622</v>
      </c>
      <c r="J75" s="49">
        <v>44013</v>
      </c>
      <c r="K75" s="45">
        <v>24.4634</v>
      </c>
      <c r="L75" s="45">
        <f t="shared" si="9"/>
        <v>0.78651598694680658</v>
      </c>
      <c r="M75" s="45">
        <f t="shared" si="8"/>
        <v>0.72065579449601558</v>
      </c>
      <c r="N75" s="45">
        <f t="shared" si="6"/>
        <v>0.83357266547421238</v>
      </c>
    </row>
    <row r="76" spans="1:14" x14ac:dyDescent="0.2">
      <c r="A76" s="49">
        <v>43951</v>
      </c>
      <c r="B76" s="46">
        <v>2366.86</v>
      </c>
      <c r="C76" s="45">
        <f t="shared" si="2"/>
        <v>76.096259263426944</v>
      </c>
      <c r="D76" s="45">
        <f t="shared" si="3"/>
        <v>31.706774693094562</v>
      </c>
      <c r="E76" s="45">
        <f t="shared" si="10"/>
        <v>26.977415810333273</v>
      </c>
      <c r="F76" s="45">
        <f t="shared" si="5"/>
        <v>0.14915925471887556</v>
      </c>
      <c r="J76" s="49">
        <v>43983</v>
      </c>
      <c r="K76" s="45">
        <v>24.846299999999999</v>
      </c>
      <c r="L76" s="45">
        <f t="shared" si="9"/>
        <v>0.79882649862555655</v>
      </c>
      <c r="M76" s="45">
        <f t="shared" si="8"/>
        <v>0.70111311846363022</v>
      </c>
      <c r="N76" s="45">
        <f t="shared" si="6"/>
        <v>0.81327703202695989</v>
      </c>
    </row>
    <row r="77" spans="1:14" x14ac:dyDescent="0.2">
      <c r="A77" s="49">
        <v>43921</v>
      </c>
      <c r="B77" s="46">
        <v>2219.96</v>
      </c>
      <c r="C77" s="45">
        <f t="shared" si="2"/>
        <v>71.373318115324636</v>
      </c>
      <c r="D77" s="45">
        <f t="shared" si="3"/>
        <v>29.738882548051929</v>
      </c>
      <c r="E77" s="45">
        <f t="shared" si="10"/>
        <v>26.287049125903607</v>
      </c>
      <c r="F77" s="45">
        <f t="shared" si="5"/>
        <v>0.11607138958805423</v>
      </c>
      <c r="J77" s="49">
        <v>43952</v>
      </c>
      <c r="K77" s="45">
        <v>21.060199999999998</v>
      </c>
      <c r="L77" s="45">
        <f t="shared" si="9"/>
        <v>0.67710064783706003</v>
      </c>
      <c r="M77" s="45">
        <f t="shared" ref="M77:M108" si="11">($T$1*L78) + ((1-$T$1)*M78)</f>
        <v>0.70711623612027275</v>
      </c>
      <c r="N77" s="45">
        <f t="shared" si="6"/>
        <v>0.82857586983732134</v>
      </c>
    </row>
    <row r="78" spans="1:14" x14ac:dyDescent="0.2">
      <c r="A78" s="49">
        <v>43889</v>
      </c>
      <c r="B78" s="46">
        <v>2121.46</v>
      </c>
      <c r="C78" s="45">
        <f t="shared" ref="C78:C141" si="12">B78/(31.1035)</f>
        <v>68.206471940456865</v>
      </c>
      <c r="D78" s="45">
        <f t="shared" ref="D78:D141" si="13">(C78/24)*10</f>
        <v>28.419363308523696</v>
      </c>
      <c r="E78" s="45">
        <f t="shared" si="10"/>
        <v>25.753970580248584</v>
      </c>
      <c r="F78" s="45">
        <f t="shared" si="5"/>
        <v>9.3787911408827807E-2</v>
      </c>
      <c r="J78" s="49">
        <v>43922</v>
      </c>
      <c r="K78" s="45">
        <v>19.658000000000001</v>
      </c>
      <c r="L78" s="45">
        <f t="shared" ref="L78:L109" si="14">K78/(31.1035)</f>
        <v>0.63201890462488153</v>
      </c>
      <c r="M78" s="45">
        <f t="shared" si="11"/>
        <v>0.72589056899412052</v>
      </c>
      <c r="N78" s="45">
        <f t="shared" si="6"/>
        <v>0.85160584482121904</v>
      </c>
    </row>
    <row r="79" spans="1:14" x14ac:dyDescent="0.2">
      <c r="A79" s="49">
        <v>43861</v>
      </c>
      <c r="B79" s="46">
        <v>2042.64</v>
      </c>
      <c r="C79" s="45">
        <f t="shared" si="12"/>
        <v>65.672351986110897</v>
      </c>
      <c r="D79" s="45">
        <f t="shared" si="13"/>
        <v>27.363479994212874</v>
      </c>
      <c r="E79" s="45">
        <f t="shared" si="10"/>
        <v>25.351593226757508</v>
      </c>
      <c r="F79" s="45">
        <f t="shared" ref="F79:F142" si="15">ABS((D79-E79)/D79)</f>
        <v>7.3524521291913933E-2</v>
      </c>
      <c r="J79" s="49">
        <v>43891</v>
      </c>
      <c r="K79" s="45">
        <v>22.380800000000001</v>
      </c>
      <c r="L79" s="45">
        <f t="shared" si="14"/>
        <v>0.71955889208609969</v>
      </c>
      <c r="M79" s="45">
        <f t="shared" si="11"/>
        <v>0.72747348822112579</v>
      </c>
      <c r="N79" s="45">
        <f t="shared" ref="N79:N142" si="16">ABS((L79-F79)/L79)</f>
        <v>0.89782000875737045</v>
      </c>
    </row>
    <row r="80" spans="1:14" x14ac:dyDescent="0.2">
      <c r="A80" s="49">
        <v>43830</v>
      </c>
      <c r="B80" s="46">
        <v>1945.36</v>
      </c>
      <c r="C80" s="45">
        <f t="shared" si="12"/>
        <v>62.544729692799841</v>
      </c>
      <c r="D80" s="45">
        <f t="shared" si="13"/>
        <v>26.060304038666601</v>
      </c>
      <c r="E80" s="45">
        <f t="shared" si="10"/>
        <v>25.174415523780233</v>
      </c>
      <c r="F80" s="45">
        <f t="shared" si="15"/>
        <v>3.3993790462764496E-2</v>
      </c>
      <c r="J80" s="49">
        <v>43862</v>
      </c>
      <c r="K80" s="45">
        <v>23.898599999999998</v>
      </c>
      <c r="L80" s="45">
        <f t="shared" si="14"/>
        <v>0.7683572588293921</v>
      </c>
      <c r="M80" s="45">
        <f t="shared" si="11"/>
        <v>0.71725254556905926</v>
      </c>
      <c r="N80" s="45">
        <f t="shared" si="16"/>
        <v>0.95575783260698965</v>
      </c>
    </row>
    <row r="81" spans="1:14" x14ac:dyDescent="0.2">
      <c r="A81" s="49">
        <v>43798</v>
      </c>
      <c r="B81" s="46">
        <v>1945.89</v>
      </c>
      <c r="C81" s="45">
        <f t="shared" si="12"/>
        <v>62.561769575771216</v>
      </c>
      <c r="D81" s="45">
        <f t="shared" si="13"/>
        <v>26.067403989904673</v>
      </c>
      <c r="E81" s="45">
        <f t="shared" si="10"/>
        <v>24.951168407249121</v>
      </c>
      <c r="F81" s="45">
        <f t="shared" si="15"/>
        <v>4.282112568968683E-2</v>
      </c>
      <c r="J81" s="49">
        <v>43831</v>
      </c>
      <c r="K81" s="45">
        <v>23.190100000000001</v>
      </c>
      <c r="L81" s="45">
        <f t="shared" si="14"/>
        <v>0.74557847187615545</v>
      </c>
      <c r="M81" s="45">
        <f t="shared" si="11"/>
        <v>0.71017106399228513</v>
      </c>
      <c r="N81" s="45">
        <f t="shared" si="16"/>
        <v>0.94256657440506186</v>
      </c>
    </row>
    <row r="82" spans="1:14" x14ac:dyDescent="0.2">
      <c r="A82" s="49">
        <v>43769</v>
      </c>
      <c r="B82" s="46">
        <v>1971.74</v>
      </c>
      <c r="C82" s="45">
        <f t="shared" si="12"/>
        <v>63.392865754657834</v>
      </c>
      <c r="D82" s="45">
        <f t="shared" si="13"/>
        <v>26.413694064440762</v>
      </c>
      <c r="E82" s="45">
        <f t="shared" si="10"/>
        <v>24.585536992951209</v>
      </c>
      <c r="F82" s="45">
        <f t="shared" si="15"/>
        <v>6.9212472402741115E-2</v>
      </c>
      <c r="J82" s="49">
        <v>43800</v>
      </c>
      <c r="K82" s="45">
        <v>22.614100000000001</v>
      </c>
      <c r="L82" s="45">
        <f t="shared" si="14"/>
        <v>0.72705965566576114</v>
      </c>
      <c r="M82" s="45">
        <f t="shared" si="11"/>
        <v>0.70594891607391608</v>
      </c>
      <c r="N82" s="45">
        <f t="shared" si="16"/>
        <v>0.9048049608262696</v>
      </c>
    </row>
    <row r="83" spans="1:14" x14ac:dyDescent="0.2">
      <c r="A83" s="49">
        <v>43738</v>
      </c>
      <c r="B83" s="46">
        <v>2001.3</v>
      </c>
      <c r="C83" s="45">
        <f t="shared" si="12"/>
        <v>64.343241114344039</v>
      </c>
      <c r="D83" s="45">
        <f t="shared" si="13"/>
        <v>26.809683797643352</v>
      </c>
      <c r="E83" s="45">
        <f t="shared" si="10"/>
        <v>24.02950029177817</v>
      </c>
      <c r="F83" s="45">
        <f t="shared" si="15"/>
        <v>0.10370071974178106</v>
      </c>
      <c r="J83" s="49">
        <v>43770</v>
      </c>
      <c r="K83" s="45">
        <v>23.833400000000001</v>
      </c>
      <c r="L83" s="45">
        <f t="shared" si="14"/>
        <v>0.7662610317166878</v>
      </c>
      <c r="M83" s="45">
        <f t="shared" si="11"/>
        <v>0.69087088716322309</v>
      </c>
      <c r="N83" s="45">
        <f t="shared" si="16"/>
        <v>0.86466658821282372</v>
      </c>
    </row>
    <row r="84" spans="1:14" x14ac:dyDescent="0.2">
      <c r="A84" s="49">
        <v>43707</v>
      </c>
      <c r="B84" s="46">
        <v>1989.52</v>
      </c>
      <c r="C84" s="45">
        <f t="shared" si="12"/>
        <v>63.964505602263408</v>
      </c>
      <c r="D84" s="45">
        <f t="shared" si="13"/>
        <v>26.651877334276421</v>
      </c>
      <c r="E84" s="45">
        <f t="shared" si="10"/>
        <v>23.373906031153606</v>
      </c>
      <c r="F84" s="45">
        <f t="shared" si="15"/>
        <v>0.12299213530099377</v>
      </c>
      <c r="J84" s="49">
        <v>43739</v>
      </c>
      <c r="K84" s="45">
        <v>22.788699999999999</v>
      </c>
      <c r="L84" s="45">
        <f t="shared" si="14"/>
        <v>0.73267317182953684</v>
      </c>
      <c r="M84" s="45">
        <f t="shared" si="11"/>
        <v>0.68042031599664454</v>
      </c>
      <c r="N84" s="45">
        <f t="shared" si="16"/>
        <v>0.8321323339929676</v>
      </c>
    </row>
    <row r="85" spans="1:14" x14ac:dyDescent="0.2">
      <c r="A85" s="49">
        <v>43677</v>
      </c>
      <c r="B85" s="46">
        <v>1851.42</v>
      </c>
      <c r="C85" s="45">
        <f t="shared" si="12"/>
        <v>59.52449081293102</v>
      </c>
      <c r="D85" s="45">
        <f t="shared" si="13"/>
        <v>24.801871172054589</v>
      </c>
      <c r="E85" s="45">
        <f t="shared" si="10"/>
        <v>23.016914745928361</v>
      </c>
      <c r="F85" s="45">
        <f t="shared" si="15"/>
        <v>7.1968619373260087E-2</v>
      </c>
      <c r="J85" s="49">
        <v>43709</v>
      </c>
      <c r="K85" s="45">
        <v>24.470300000000002</v>
      </c>
      <c r="L85" s="45">
        <f t="shared" si="14"/>
        <v>0.78673782693266037</v>
      </c>
      <c r="M85" s="45">
        <f t="shared" si="11"/>
        <v>0.65384093826264056</v>
      </c>
      <c r="N85" s="45">
        <f t="shared" si="16"/>
        <v>0.90852274174504632</v>
      </c>
    </row>
    <row r="86" spans="1:14" x14ac:dyDescent="0.2">
      <c r="A86" s="49">
        <v>43644</v>
      </c>
      <c r="B86" s="46">
        <v>1805.68</v>
      </c>
      <c r="C86" s="45">
        <f t="shared" si="12"/>
        <v>58.05391676177922</v>
      </c>
      <c r="D86" s="45">
        <f t="shared" si="13"/>
        <v>24.189131984074677</v>
      </c>
      <c r="E86" s="45">
        <f t="shared" si="10"/>
        <v>22.723860436391778</v>
      </c>
      <c r="F86" s="45">
        <f t="shared" si="15"/>
        <v>6.0575615059175573E-2</v>
      </c>
      <c r="J86" s="49">
        <v>43678</v>
      </c>
      <c r="K86" s="45">
        <v>21.5791</v>
      </c>
      <c r="L86" s="45">
        <f t="shared" si="14"/>
        <v>0.69378365778770879</v>
      </c>
      <c r="M86" s="45">
        <f t="shared" si="11"/>
        <v>0.64385525838137347</v>
      </c>
      <c r="N86" s="45">
        <f t="shared" si="16"/>
        <v>0.91268803411666544</v>
      </c>
    </row>
    <row r="87" spans="1:14" x14ac:dyDescent="0.2">
      <c r="A87" s="49">
        <v>43616</v>
      </c>
      <c r="B87" s="46">
        <v>1728.3</v>
      </c>
      <c r="C87" s="45">
        <f t="shared" si="12"/>
        <v>55.56609384795923</v>
      </c>
      <c r="D87" s="45">
        <f t="shared" si="13"/>
        <v>23.152539103316347</v>
      </c>
      <c r="E87" s="45">
        <f t="shared" si="10"/>
        <v>22.616690769660636</v>
      </c>
      <c r="F87" s="45">
        <f t="shared" si="15"/>
        <v>2.3144257796716403E-2</v>
      </c>
      <c r="J87" s="49">
        <v>43647</v>
      </c>
      <c r="K87" s="45">
        <v>19.893000000000001</v>
      </c>
      <c r="L87" s="45">
        <f t="shared" si="14"/>
        <v>0.6395743244329416</v>
      </c>
      <c r="M87" s="45">
        <f t="shared" si="11"/>
        <v>0.64492549186848136</v>
      </c>
      <c r="N87" s="45">
        <f t="shared" si="16"/>
        <v>0.9638130285839156</v>
      </c>
    </row>
    <row r="88" spans="1:14" x14ac:dyDescent="0.2">
      <c r="A88" s="49">
        <v>43585</v>
      </c>
      <c r="B88" s="46">
        <v>1721.06</v>
      </c>
      <c r="C88" s="45">
        <f t="shared" si="12"/>
        <v>55.333322616425804</v>
      </c>
      <c r="D88" s="45">
        <f t="shared" si="13"/>
        <v>23.055551090177421</v>
      </c>
      <c r="E88" s="45">
        <f t="shared" si="10"/>
        <v>22.506975689531437</v>
      </c>
      <c r="F88" s="45">
        <f t="shared" si="15"/>
        <v>2.3793636443576419E-2</v>
      </c>
      <c r="J88" s="49">
        <v>43617</v>
      </c>
      <c r="K88" s="45">
        <v>19.714400000000001</v>
      </c>
      <c r="L88" s="45">
        <f t="shared" si="14"/>
        <v>0.6338322053788159</v>
      </c>
      <c r="M88" s="45">
        <f t="shared" si="11"/>
        <v>0.64769881349089764</v>
      </c>
      <c r="N88" s="45">
        <f t="shared" si="16"/>
        <v>0.96246066980872969</v>
      </c>
    </row>
    <row r="89" spans="1:14" x14ac:dyDescent="0.2">
      <c r="A89" s="49">
        <v>43553</v>
      </c>
      <c r="B89" s="46">
        <v>1739.55</v>
      </c>
      <c r="C89" s="45">
        <f t="shared" si="12"/>
        <v>55.927789477068494</v>
      </c>
      <c r="D89" s="45">
        <f t="shared" si="13"/>
        <v>23.303245615445206</v>
      </c>
      <c r="E89" s="45">
        <f t="shared" si="10"/>
        <v>22.307908208052993</v>
      </c>
      <c r="F89" s="45">
        <f t="shared" si="15"/>
        <v>4.2712393965092646E-2</v>
      </c>
      <c r="J89" s="49">
        <v>43586</v>
      </c>
      <c r="K89" s="45">
        <v>19.727599999999999</v>
      </c>
      <c r="L89" s="45">
        <f t="shared" si="14"/>
        <v>0.63425659491697073</v>
      </c>
      <c r="M89" s="45">
        <f t="shared" si="11"/>
        <v>0.65105936813437926</v>
      </c>
      <c r="N89" s="45">
        <f t="shared" si="16"/>
        <v>0.93265754852626481</v>
      </c>
    </row>
    <row r="90" spans="1:14" x14ac:dyDescent="0.2">
      <c r="A90" s="49">
        <v>43524</v>
      </c>
      <c r="B90" s="46">
        <v>1743.06</v>
      </c>
      <c r="C90" s="45">
        <f t="shared" si="12"/>
        <v>56.040638513350586</v>
      </c>
      <c r="D90" s="45">
        <f t="shared" si="13"/>
        <v>23.350266047229411</v>
      </c>
      <c r="E90" s="45">
        <f t="shared" si="10"/>
        <v>22.047318748258888</v>
      </c>
      <c r="F90" s="45">
        <f t="shared" si="15"/>
        <v>5.5800105075253383E-2</v>
      </c>
      <c r="J90" s="49">
        <v>43556</v>
      </c>
      <c r="K90" s="45">
        <v>20.224699999999999</v>
      </c>
      <c r="L90" s="45">
        <f t="shared" si="14"/>
        <v>0.65023871911521203</v>
      </c>
      <c r="M90" s="45">
        <f t="shared" si="11"/>
        <v>0.65126453038917109</v>
      </c>
      <c r="N90" s="45">
        <f t="shared" si="16"/>
        <v>0.91418520085795374</v>
      </c>
    </row>
    <row r="91" spans="1:14" x14ac:dyDescent="0.2">
      <c r="A91" s="49">
        <v>43496</v>
      </c>
      <c r="B91" s="46">
        <v>1717.79</v>
      </c>
      <c r="C91" s="45">
        <f t="shared" si="12"/>
        <v>55.228189753564706</v>
      </c>
      <c r="D91" s="45">
        <f t="shared" si="13"/>
        <v>23.011745730651963</v>
      </c>
      <c r="E91" s="45">
        <f t="shared" si="10"/>
        <v>21.806212002660619</v>
      </c>
      <c r="F91" s="45">
        <f t="shared" si="15"/>
        <v>5.2387756326785627E-2</v>
      </c>
      <c r="J91" s="49">
        <v>43525</v>
      </c>
      <c r="K91" s="45">
        <v>20.51</v>
      </c>
      <c r="L91" s="45">
        <f t="shared" si="14"/>
        <v>0.65941132026942306</v>
      </c>
      <c r="M91" s="45">
        <f t="shared" si="11"/>
        <v>0.64922783291910813</v>
      </c>
      <c r="N91" s="45">
        <f t="shared" si="16"/>
        <v>0.92055375041881149</v>
      </c>
    </row>
    <row r="92" spans="1:14" x14ac:dyDescent="0.2">
      <c r="A92" s="49">
        <v>43465</v>
      </c>
      <c r="B92" s="46">
        <v>1674.07</v>
      </c>
      <c r="C92" s="45">
        <f t="shared" si="12"/>
        <v>53.822560162039636</v>
      </c>
      <c r="D92" s="45">
        <f t="shared" si="13"/>
        <v>22.426066734183184</v>
      </c>
      <c r="E92" s="45">
        <f t="shared" si="10"/>
        <v>21.651248319779974</v>
      </c>
      <c r="F92" s="45">
        <f t="shared" si="15"/>
        <v>3.454990228947212E-2</v>
      </c>
      <c r="J92" s="49">
        <v>43497</v>
      </c>
      <c r="K92" s="45">
        <v>21.03</v>
      </c>
      <c r="L92" s="45">
        <f t="shared" si="14"/>
        <v>0.67612969601491801</v>
      </c>
      <c r="M92" s="45">
        <f t="shared" si="11"/>
        <v>0.64250236714515552</v>
      </c>
      <c r="N92" s="45">
        <f t="shared" si="16"/>
        <v>0.94890048093863077</v>
      </c>
    </row>
    <row r="93" spans="1:14" x14ac:dyDescent="0.2">
      <c r="A93" s="49">
        <v>43434</v>
      </c>
      <c r="B93" s="46">
        <v>1612.08</v>
      </c>
      <c r="C93" s="45">
        <f t="shared" si="12"/>
        <v>51.829536868841124</v>
      </c>
      <c r="D93" s="45">
        <f t="shared" si="13"/>
        <v>21.595640362017136</v>
      </c>
      <c r="E93" s="45">
        <f t="shared" si="10"/>
        <v>21.665150309220685</v>
      </c>
      <c r="F93" s="45">
        <f t="shared" si="15"/>
        <v>3.2187027584421606E-3</v>
      </c>
      <c r="J93" s="49">
        <v>43466</v>
      </c>
      <c r="K93" s="45">
        <v>21.12</v>
      </c>
      <c r="L93" s="45">
        <f t="shared" si="14"/>
        <v>0.67902326104779209</v>
      </c>
      <c r="M93" s="45">
        <f t="shared" si="11"/>
        <v>0.63337214366949635</v>
      </c>
      <c r="N93" s="45">
        <f t="shared" si="16"/>
        <v>0.99525980486518917</v>
      </c>
    </row>
    <row r="94" spans="1:14" x14ac:dyDescent="0.2">
      <c r="A94" s="49">
        <v>43404</v>
      </c>
      <c r="B94" s="46">
        <v>1581.07</v>
      </c>
      <c r="C94" s="45">
        <f t="shared" si="12"/>
        <v>50.832542961403057</v>
      </c>
      <c r="D94" s="45">
        <f t="shared" si="13"/>
        <v>21.180226233917942</v>
      </c>
      <c r="E94" s="45">
        <f t="shared" si="10"/>
        <v>21.786381328046367</v>
      </c>
      <c r="F94" s="45">
        <f t="shared" si="15"/>
        <v>2.8618914993350286E-2</v>
      </c>
      <c r="J94" s="49">
        <v>43435</v>
      </c>
      <c r="K94" s="45">
        <v>18.850000000000001</v>
      </c>
      <c r="L94" s="45">
        <f t="shared" si="14"/>
        <v>0.60604112077418948</v>
      </c>
      <c r="M94" s="45">
        <f t="shared" si="11"/>
        <v>0.64020489939332303</v>
      </c>
      <c r="N94" s="45">
        <f t="shared" si="16"/>
        <v>0.95277727201614471</v>
      </c>
    </row>
    <row r="95" spans="1:14" x14ac:dyDescent="0.2">
      <c r="A95" s="49">
        <v>43371</v>
      </c>
      <c r="B95" s="46">
        <v>1562.61</v>
      </c>
      <c r="C95" s="45">
        <f t="shared" si="12"/>
        <v>50.239040622437983</v>
      </c>
      <c r="D95" s="45">
        <f t="shared" si="13"/>
        <v>20.932933592682495</v>
      </c>
      <c r="E95" s="45">
        <f t="shared" si="10"/>
        <v>21.999743261887332</v>
      </c>
      <c r="F95" s="45">
        <f t="shared" si="15"/>
        <v>5.0963218532244337E-2</v>
      </c>
      <c r="J95" s="49">
        <v>43405</v>
      </c>
      <c r="K95" s="45">
        <v>18.77</v>
      </c>
      <c r="L95" s="45">
        <f t="shared" si="14"/>
        <v>0.60346906296719016</v>
      </c>
      <c r="M95" s="45">
        <f t="shared" si="11"/>
        <v>0.64938885849985628</v>
      </c>
      <c r="N95" s="45">
        <f t="shared" si="16"/>
        <v>0.91554957551317717</v>
      </c>
    </row>
    <row r="96" spans="1:14" x14ac:dyDescent="0.2">
      <c r="A96" s="49">
        <v>43343</v>
      </c>
      <c r="B96" s="46">
        <v>1567.02</v>
      </c>
      <c r="C96" s="45">
        <f t="shared" si="12"/>
        <v>50.380825309048817</v>
      </c>
      <c r="D96" s="45">
        <f t="shared" si="13"/>
        <v>20.992010545437005</v>
      </c>
      <c r="E96" s="45">
        <f t="shared" si="10"/>
        <v>22.251676440999912</v>
      </c>
      <c r="F96" s="45">
        <f t="shared" si="15"/>
        <v>6.0006919910618982E-2</v>
      </c>
      <c r="J96" s="49">
        <v>43374</v>
      </c>
      <c r="K96" s="45">
        <v>18.579999999999998</v>
      </c>
      <c r="L96" s="45">
        <f t="shared" si="14"/>
        <v>0.59736042567556702</v>
      </c>
      <c r="M96" s="45">
        <f t="shared" si="11"/>
        <v>0.66239596670592849</v>
      </c>
      <c r="N96" s="45">
        <f t="shared" si="16"/>
        <v>0.89954654287190861</v>
      </c>
    </row>
    <row r="97" spans="1:14" x14ac:dyDescent="0.2">
      <c r="A97" s="49">
        <v>43312</v>
      </c>
      <c r="B97" s="46">
        <v>1627.01</v>
      </c>
      <c r="C97" s="45">
        <f t="shared" si="12"/>
        <v>52.309547157072352</v>
      </c>
      <c r="D97" s="45">
        <f t="shared" si="13"/>
        <v>21.795644648780147</v>
      </c>
      <c r="E97" s="45">
        <f t="shared" si="10"/>
        <v>22.365684389054852</v>
      </c>
      <c r="F97" s="45">
        <f t="shared" si="15"/>
        <v>2.6153837129410572E-2</v>
      </c>
      <c r="J97" s="49">
        <v>43344</v>
      </c>
      <c r="K97" s="45">
        <v>18.97</v>
      </c>
      <c r="L97" s="45">
        <f t="shared" si="14"/>
        <v>0.60989920748468818</v>
      </c>
      <c r="M97" s="45">
        <f t="shared" si="11"/>
        <v>0.67552015651123853</v>
      </c>
      <c r="N97" s="45">
        <f t="shared" si="16"/>
        <v>0.95711777157856504</v>
      </c>
    </row>
    <row r="98" spans="1:14" x14ac:dyDescent="0.2">
      <c r="A98" s="49">
        <v>43280</v>
      </c>
      <c r="B98" s="46">
        <v>1682.71</v>
      </c>
      <c r="C98" s="45">
        <f t="shared" si="12"/>
        <v>54.100342405195555</v>
      </c>
      <c r="D98" s="45">
        <f t="shared" si="13"/>
        <v>22.541809335498147</v>
      </c>
      <c r="E98" s="45">
        <f t="shared" si="10"/>
        <v>22.321653152444028</v>
      </c>
      <c r="F98" s="45">
        <f t="shared" si="15"/>
        <v>9.7665710758818094E-3</v>
      </c>
      <c r="J98" s="49">
        <v>43313</v>
      </c>
      <c r="K98" s="45">
        <v>20</v>
      </c>
      <c r="L98" s="45">
        <f t="shared" si="14"/>
        <v>0.6430144517498031</v>
      </c>
      <c r="M98" s="45">
        <f t="shared" si="11"/>
        <v>0.68364658270159728</v>
      </c>
      <c r="N98" s="45">
        <f t="shared" si="16"/>
        <v>0.98481127282706549</v>
      </c>
    </row>
    <row r="99" spans="1:14" x14ac:dyDescent="0.2">
      <c r="A99" s="49">
        <v>43251</v>
      </c>
      <c r="B99" s="46">
        <v>1675.93</v>
      </c>
      <c r="C99" s="45">
        <f t="shared" si="12"/>
        <v>53.882360506052372</v>
      </c>
      <c r="D99" s="45">
        <f t="shared" si="13"/>
        <v>22.450983544188489</v>
      </c>
      <c r="E99" s="45">
        <f t="shared" si="10"/>
        <v>22.289320554507913</v>
      </c>
      <c r="F99" s="45">
        <f t="shared" si="15"/>
        <v>7.2007085730737379E-3</v>
      </c>
      <c r="J99" s="49">
        <v>43282</v>
      </c>
      <c r="K99" s="45">
        <v>21.16</v>
      </c>
      <c r="L99" s="45">
        <f t="shared" si="14"/>
        <v>0.6803092899512917</v>
      </c>
      <c r="M99" s="45">
        <f t="shared" si="11"/>
        <v>0.68448090588917365</v>
      </c>
      <c r="N99" s="45">
        <f t="shared" si="16"/>
        <v>0.98941553690441397</v>
      </c>
    </row>
    <row r="100" spans="1:14" x14ac:dyDescent="0.2">
      <c r="A100" s="49">
        <v>43220</v>
      </c>
      <c r="B100" s="46">
        <v>1697.79</v>
      </c>
      <c r="C100" s="45">
        <f t="shared" si="12"/>
        <v>54.585175301814907</v>
      </c>
      <c r="D100" s="45">
        <f t="shared" si="13"/>
        <v>22.743823042422878</v>
      </c>
      <c r="E100" s="45">
        <f t="shared" si="10"/>
        <v>22.175694932529172</v>
      </c>
      <c r="F100" s="45">
        <f t="shared" si="15"/>
        <v>2.4979446456033637E-2</v>
      </c>
      <c r="J100" s="49">
        <v>43252</v>
      </c>
      <c r="K100" s="45">
        <v>21.23</v>
      </c>
      <c r="L100" s="45">
        <f t="shared" si="14"/>
        <v>0.68255984053241592</v>
      </c>
      <c r="M100" s="45">
        <f t="shared" si="11"/>
        <v>0.68496117222836317</v>
      </c>
      <c r="N100" s="45">
        <f t="shared" si="16"/>
        <v>0.96340328719523116</v>
      </c>
    </row>
    <row r="101" spans="1:14" x14ac:dyDescent="0.2">
      <c r="A101" s="49">
        <v>43189</v>
      </c>
      <c r="B101" s="46">
        <v>1713.38</v>
      </c>
      <c r="C101" s="45">
        <f t="shared" si="12"/>
        <v>55.08640506695388</v>
      </c>
      <c r="D101" s="45">
        <f t="shared" si="13"/>
        <v>22.952668777897451</v>
      </c>
      <c r="E101" s="45">
        <f t="shared" si="10"/>
        <v>21.981451471187103</v>
      </c>
      <c r="F101" s="45">
        <f t="shared" si="15"/>
        <v>4.2313916351443742E-2</v>
      </c>
      <c r="J101" s="49">
        <v>43221</v>
      </c>
      <c r="K101" s="45">
        <v>20.73</v>
      </c>
      <c r="L101" s="45">
        <f t="shared" si="14"/>
        <v>0.66648447923867093</v>
      </c>
      <c r="M101" s="45">
        <f t="shared" si="11"/>
        <v>0.68958034547578617</v>
      </c>
      <c r="N101" s="45">
        <f t="shared" si="16"/>
        <v>0.93651177533829566</v>
      </c>
    </row>
    <row r="102" spans="1:14" x14ac:dyDescent="0.2">
      <c r="A102" s="49">
        <v>43159</v>
      </c>
      <c r="B102" s="46">
        <v>1675.95</v>
      </c>
      <c r="C102" s="45">
        <f t="shared" si="12"/>
        <v>53.883003520504126</v>
      </c>
      <c r="D102" s="45">
        <f t="shared" si="13"/>
        <v>22.45125146687672</v>
      </c>
      <c r="E102" s="45">
        <f t="shared" si="10"/>
        <v>21.8640014722647</v>
      </c>
      <c r="F102" s="45">
        <f t="shared" si="15"/>
        <v>2.6156670842087091E-2</v>
      </c>
      <c r="J102" s="49">
        <v>43191</v>
      </c>
      <c r="K102" s="45">
        <v>21.09</v>
      </c>
      <c r="L102" s="45">
        <f t="shared" si="14"/>
        <v>0.67805873937016736</v>
      </c>
      <c r="M102" s="45">
        <f t="shared" si="11"/>
        <v>0.69246074700219085</v>
      </c>
      <c r="N102" s="45">
        <f t="shared" si="16"/>
        <v>0.96142418152978404</v>
      </c>
    </row>
    <row r="103" spans="1:14" x14ac:dyDescent="0.2">
      <c r="A103" s="49">
        <v>43131</v>
      </c>
      <c r="B103" s="46">
        <v>1654.98</v>
      </c>
      <c r="C103" s="45">
        <f t="shared" si="12"/>
        <v>53.208802867844454</v>
      </c>
      <c r="D103" s="45">
        <f t="shared" si="13"/>
        <v>22.170334528268523</v>
      </c>
      <c r="E103" s="45">
        <f t="shared" si="10"/>
        <v>21.787418208263745</v>
      </c>
      <c r="F103" s="45">
        <f t="shared" si="15"/>
        <v>1.7271562570088262E-2</v>
      </c>
      <c r="J103" s="49">
        <v>43160</v>
      </c>
      <c r="K103" s="45">
        <v>21.06</v>
      </c>
      <c r="L103" s="45">
        <f t="shared" si="14"/>
        <v>0.67709421769254263</v>
      </c>
      <c r="M103" s="45">
        <f t="shared" si="11"/>
        <v>0.69630237932960293</v>
      </c>
      <c r="N103" s="45">
        <f t="shared" si="16"/>
        <v>0.97449164072180727</v>
      </c>
    </row>
    <row r="104" spans="1:14" x14ac:dyDescent="0.2">
      <c r="A104" s="49">
        <v>43098</v>
      </c>
      <c r="B104" s="46">
        <v>1612.47</v>
      </c>
      <c r="C104" s="45">
        <f t="shared" si="12"/>
        <v>51.842075650650251</v>
      </c>
      <c r="D104" s="45">
        <f t="shared" si="13"/>
        <v>21.600864854437603</v>
      </c>
      <c r="E104" s="45">
        <f t="shared" si="10"/>
        <v>21.834056546720277</v>
      </c>
      <c r="F104" s="45">
        <f t="shared" si="15"/>
        <v>1.0795479433536084E-2</v>
      </c>
      <c r="J104" s="49">
        <v>43132</v>
      </c>
      <c r="K104" s="45">
        <v>21.35</v>
      </c>
      <c r="L104" s="45">
        <f t="shared" si="14"/>
        <v>0.68641792724291484</v>
      </c>
      <c r="M104" s="45">
        <f t="shared" si="11"/>
        <v>0.69877349235127495</v>
      </c>
      <c r="N104" s="45">
        <f t="shared" si="16"/>
        <v>0.98427273093391143</v>
      </c>
    </row>
    <row r="105" spans="1:14" x14ac:dyDescent="0.2">
      <c r="A105" s="49">
        <v>43069</v>
      </c>
      <c r="B105" s="46">
        <v>1637.07</v>
      </c>
      <c r="C105" s="45">
        <f t="shared" si="12"/>
        <v>52.632983426302502</v>
      </c>
      <c r="D105" s="45">
        <f t="shared" si="13"/>
        <v>21.930409760959378</v>
      </c>
      <c r="E105" s="45">
        <f t="shared" si="10"/>
        <v>21.809968243160498</v>
      </c>
      <c r="F105" s="45">
        <f t="shared" si="15"/>
        <v>5.4919866574171935E-3</v>
      </c>
      <c r="J105" s="49">
        <v>43101</v>
      </c>
      <c r="K105" s="45">
        <v>21.32</v>
      </c>
      <c r="L105" s="45">
        <f t="shared" si="14"/>
        <v>0.68545340556529011</v>
      </c>
      <c r="M105" s="45">
        <f t="shared" si="11"/>
        <v>0.70210351404777116</v>
      </c>
      <c r="N105" s="45">
        <f t="shared" si="16"/>
        <v>0.99198780454976654</v>
      </c>
    </row>
    <row r="106" spans="1:14" x14ac:dyDescent="0.2">
      <c r="A106" s="49">
        <v>43039</v>
      </c>
      <c r="B106" s="46">
        <v>1612.92</v>
      </c>
      <c r="C106" s="45">
        <f t="shared" si="12"/>
        <v>51.856543475814618</v>
      </c>
      <c r="D106" s="45">
        <f t="shared" si="13"/>
        <v>21.606893114922755</v>
      </c>
      <c r="E106" s="45">
        <f t="shared" si="10"/>
        <v>21.860737025219933</v>
      </c>
      <c r="F106" s="45">
        <f t="shared" si="15"/>
        <v>1.174828370497474E-2</v>
      </c>
      <c r="J106" s="49">
        <v>43070</v>
      </c>
      <c r="K106" s="45">
        <v>21.15</v>
      </c>
      <c r="L106" s="45">
        <f t="shared" si="14"/>
        <v>0.67998778272541671</v>
      </c>
      <c r="M106" s="45">
        <f t="shared" si="11"/>
        <v>0.70763244687835969</v>
      </c>
      <c r="N106" s="45">
        <f t="shared" si="16"/>
        <v>0.98272280178639804</v>
      </c>
    </row>
    <row r="107" spans="1:14" x14ac:dyDescent="0.2">
      <c r="A107" s="49">
        <v>43007</v>
      </c>
      <c r="B107" s="46">
        <v>1615.98</v>
      </c>
      <c r="C107" s="45">
        <f t="shared" si="12"/>
        <v>51.954924686932337</v>
      </c>
      <c r="D107" s="45">
        <f t="shared" si="13"/>
        <v>21.647885286221808</v>
      </c>
      <c r="E107" s="45">
        <f t="shared" si="10"/>
        <v>21.913949959969464</v>
      </c>
      <c r="F107" s="45">
        <f t="shared" si="15"/>
        <v>1.2290561883058323E-2</v>
      </c>
      <c r="J107" s="49">
        <v>43040</v>
      </c>
      <c r="K107" s="45">
        <v>21.56</v>
      </c>
      <c r="L107" s="45">
        <f t="shared" si="14"/>
        <v>0.69316957898628762</v>
      </c>
      <c r="M107" s="45">
        <f t="shared" si="11"/>
        <v>0.71124816385137757</v>
      </c>
      <c r="N107" s="45">
        <f t="shared" si="16"/>
        <v>0.9822690402815536</v>
      </c>
    </row>
    <row r="108" spans="1:14" x14ac:dyDescent="0.2">
      <c r="A108" s="49">
        <v>42978</v>
      </c>
      <c r="B108" s="46">
        <v>1617.63</v>
      </c>
      <c r="C108" s="45">
        <f t="shared" si="12"/>
        <v>52.007973379201701</v>
      </c>
      <c r="D108" s="45">
        <f t="shared" si="13"/>
        <v>21.669988908000711</v>
      </c>
      <c r="E108" s="45">
        <f t="shared" si="10"/>
        <v>21.974940222961649</v>
      </c>
      <c r="F108" s="45">
        <f t="shared" si="15"/>
        <v>1.4072518276571338E-2</v>
      </c>
      <c r="J108" s="49">
        <v>43009</v>
      </c>
      <c r="K108" s="45">
        <v>20.77</v>
      </c>
      <c r="L108" s="45">
        <f t="shared" si="14"/>
        <v>0.66777050814217043</v>
      </c>
      <c r="M108" s="45">
        <f t="shared" si="11"/>
        <v>0.72211757777867935</v>
      </c>
      <c r="N108" s="45">
        <f t="shared" si="16"/>
        <v>0.97892611592607914</v>
      </c>
    </row>
    <row r="109" spans="1:14" x14ac:dyDescent="0.2">
      <c r="A109" s="49">
        <v>42947</v>
      </c>
      <c r="B109" s="46">
        <v>1569.67</v>
      </c>
      <c r="C109" s="45">
        <f t="shared" si="12"/>
        <v>50.466024723905669</v>
      </c>
      <c r="D109" s="45">
        <f t="shared" si="13"/>
        <v>21.027510301627363</v>
      </c>
      <c r="E109" s="45">
        <f t="shared" si="10"/>
        <v>22.211797703295222</v>
      </c>
      <c r="F109" s="45">
        <f t="shared" si="15"/>
        <v>5.6320857042985485E-2</v>
      </c>
      <c r="J109" s="49">
        <v>42979</v>
      </c>
      <c r="K109" s="45">
        <v>21.96</v>
      </c>
      <c r="L109" s="45">
        <f t="shared" si="14"/>
        <v>0.70602986802128376</v>
      </c>
      <c r="M109" s="45">
        <f t="shared" ref="M109:M140" si="17">($T$1*L110) + ((1-$T$1)*M110)</f>
        <v>0.72613950521802817</v>
      </c>
      <c r="N109" s="45">
        <f t="shared" si="16"/>
        <v>0.92022878975243627</v>
      </c>
    </row>
    <row r="110" spans="1:14" x14ac:dyDescent="0.2">
      <c r="A110" s="49">
        <v>42916</v>
      </c>
      <c r="B110" s="46">
        <v>1676.48</v>
      </c>
      <c r="C110" s="45">
        <f t="shared" si="12"/>
        <v>53.900043403475493</v>
      </c>
      <c r="D110" s="45">
        <f t="shared" si="13"/>
        <v>22.458351418114791</v>
      </c>
      <c r="E110" s="45">
        <f t="shared" si="10"/>
        <v>22.150159274590326</v>
      </c>
      <c r="F110" s="45">
        <f t="shared" si="15"/>
        <v>1.3722830219669599E-2</v>
      </c>
      <c r="J110" s="49">
        <v>42948</v>
      </c>
      <c r="K110" s="45">
        <v>20.99</v>
      </c>
      <c r="L110" s="45">
        <f t="shared" ref="L110:L141" si="18">K110/(31.1035)</f>
        <v>0.6748436671114183</v>
      </c>
      <c r="M110" s="45">
        <f t="shared" si="17"/>
        <v>0.73896346474468066</v>
      </c>
      <c r="N110" s="45">
        <f t="shared" si="16"/>
        <v>0.97966517152274923</v>
      </c>
    </row>
    <row r="111" spans="1:14" x14ac:dyDescent="0.2">
      <c r="A111" s="49">
        <v>42886</v>
      </c>
      <c r="B111" s="46">
        <v>1694.35</v>
      </c>
      <c r="C111" s="45">
        <f t="shared" si="12"/>
        <v>54.474576816113938</v>
      </c>
      <c r="D111" s="45">
        <f t="shared" si="13"/>
        <v>22.697740340047474</v>
      </c>
      <c r="E111" s="45">
        <f t="shared" si="10"/>
        <v>22.013264008226038</v>
      </c>
      <c r="F111" s="45">
        <f t="shared" si="15"/>
        <v>3.0156144249027239E-2</v>
      </c>
      <c r="J111" s="49">
        <v>42917</v>
      </c>
      <c r="K111" s="45">
        <v>21.54</v>
      </c>
      <c r="L111" s="45">
        <f t="shared" si="18"/>
        <v>0.69252656453453787</v>
      </c>
      <c r="M111" s="45">
        <f t="shared" si="17"/>
        <v>0.75057268979721625</v>
      </c>
      <c r="N111" s="45">
        <f t="shared" si="16"/>
        <v>0.95645489170614584</v>
      </c>
    </row>
    <row r="112" spans="1:14" x14ac:dyDescent="0.2">
      <c r="A112" s="49">
        <v>42853</v>
      </c>
      <c r="B112" s="46">
        <v>1702.74</v>
      </c>
      <c r="C112" s="45">
        <f t="shared" si="12"/>
        <v>54.744321378622985</v>
      </c>
      <c r="D112" s="45">
        <f t="shared" si="13"/>
        <v>22.810133907759575</v>
      </c>
      <c r="E112" s="45">
        <f t="shared" si="10"/>
        <v>21.814046533342655</v>
      </c>
      <c r="F112" s="45">
        <f t="shared" si="15"/>
        <v>4.3668633355899322E-2</v>
      </c>
      <c r="J112" s="49">
        <v>42887</v>
      </c>
      <c r="K112" s="45">
        <v>23.38</v>
      </c>
      <c r="L112" s="45">
        <f t="shared" si="18"/>
        <v>0.75168389409551972</v>
      </c>
      <c r="M112" s="45">
        <f t="shared" si="17"/>
        <v>0.75029488872264039</v>
      </c>
      <c r="N112" s="45">
        <f t="shared" si="16"/>
        <v>0.94190558864049556</v>
      </c>
    </row>
    <row r="113" spans="1:14" x14ac:dyDescent="0.2">
      <c r="A113" s="49">
        <v>42825</v>
      </c>
      <c r="B113" s="46">
        <v>1648.21</v>
      </c>
      <c r="C113" s="45">
        <f t="shared" si="12"/>
        <v>52.991142475927148</v>
      </c>
      <c r="D113" s="45">
        <f t="shared" si="13"/>
        <v>22.079642698302976</v>
      </c>
      <c r="E113" s="45">
        <f t="shared" si="10"/>
        <v>21.747647492102573</v>
      </c>
      <c r="F113" s="45">
        <f t="shared" si="15"/>
        <v>1.5036258092433731E-2</v>
      </c>
      <c r="J113" s="49">
        <v>42856</v>
      </c>
      <c r="K113" s="45">
        <v>23.07</v>
      </c>
      <c r="L113" s="45">
        <f t="shared" si="18"/>
        <v>0.74171717009339788</v>
      </c>
      <c r="M113" s="45">
        <f t="shared" si="17"/>
        <v>0.75243931837995093</v>
      </c>
      <c r="N113" s="45">
        <f t="shared" si="16"/>
        <v>0.97972777401048927</v>
      </c>
    </row>
    <row r="114" spans="1:14" x14ac:dyDescent="0.2">
      <c r="A114" s="49">
        <v>42794</v>
      </c>
      <c r="B114" s="46">
        <v>1618.46</v>
      </c>
      <c r="C114" s="45">
        <f t="shared" si="12"/>
        <v>52.034658478949318</v>
      </c>
      <c r="D114" s="45">
        <f t="shared" si="13"/>
        <v>21.681107699562215</v>
      </c>
      <c r="E114" s="45">
        <f t="shared" si="10"/>
        <v>21.764282440237661</v>
      </c>
      <c r="F114" s="45">
        <f t="shared" si="15"/>
        <v>3.8362772708852608E-3</v>
      </c>
      <c r="J114" s="49">
        <v>42826</v>
      </c>
      <c r="K114" s="45">
        <v>24.28</v>
      </c>
      <c r="L114" s="45">
        <f t="shared" si="18"/>
        <v>0.78061954442426096</v>
      </c>
      <c r="M114" s="45">
        <f t="shared" si="17"/>
        <v>0.74539426186887336</v>
      </c>
      <c r="N114" s="45">
        <f t="shared" si="16"/>
        <v>0.99508559925473716</v>
      </c>
    </row>
    <row r="115" spans="1:14" x14ac:dyDescent="0.2">
      <c r="A115" s="49">
        <v>42766</v>
      </c>
      <c r="B115" s="46">
        <v>1573.04</v>
      </c>
      <c r="C115" s="45">
        <f t="shared" si="12"/>
        <v>50.574372659025506</v>
      </c>
      <c r="D115" s="45">
        <f t="shared" si="13"/>
        <v>21.072655274593963</v>
      </c>
      <c r="E115" s="45">
        <f t="shared" si="10"/>
        <v>21.937189231648581</v>
      </c>
      <c r="F115" s="45">
        <f t="shared" si="15"/>
        <v>4.1026341758503268E-2</v>
      </c>
      <c r="J115" s="49">
        <v>42795</v>
      </c>
      <c r="K115" s="45">
        <v>24.33</v>
      </c>
      <c r="L115" s="45">
        <f t="shared" si="18"/>
        <v>0.78222708055363543</v>
      </c>
      <c r="M115" s="45">
        <f t="shared" si="17"/>
        <v>0.73618605719768271</v>
      </c>
      <c r="N115" s="45">
        <f t="shared" si="16"/>
        <v>0.94755187748106839</v>
      </c>
    </row>
    <row r="116" spans="1:14" x14ac:dyDescent="0.2">
      <c r="A116" s="49">
        <v>42734</v>
      </c>
      <c r="B116" s="46">
        <v>1532.56</v>
      </c>
      <c r="C116" s="45">
        <f t="shared" si="12"/>
        <v>49.27291140868391</v>
      </c>
      <c r="D116" s="45">
        <f t="shared" si="13"/>
        <v>20.530379753618298</v>
      </c>
      <c r="E116" s="45">
        <f t="shared" si="10"/>
        <v>22.288891601156152</v>
      </c>
      <c r="F116" s="45">
        <f t="shared" si="15"/>
        <v>8.5654131518338394E-2</v>
      </c>
      <c r="J116" s="49">
        <v>42767</v>
      </c>
      <c r="K116" s="45">
        <v>22.89</v>
      </c>
      <c r="L116" s="45">
        <f t="shared" si="18"/>
        <v>0.73593004002764961</v>
      </c>
      <c r="M116" s="45">
        <f t="shared" si="17"/>
        <v>0.7362500614901909</v>
      </c>
      <c r="N116" s="45">
        <f t="shared" si="16"/>
        <v>0.88361104064304774</v>
      </c>
    </row>
    <row r="117" spans="1:14" x14ac:dyDescent="0.2">
      <c r="A117" s="49">
        <v>42704</v>
      </c>
      <c r="B117" s="46">
        <v>1661.21</v>
      </c>
      <c r="C117" s="45">
        <f t="shared" si="12"/>
        <v>53.409101869564516</v>
      </c>
      <c r="D117" s="45">
        <f t="shared" si="13"/>
        <v>22.253792445651882</v>
      </c>
      <c r="E117" s="45">
        <f t="shared" si="10"/>
        <v>22.297666390032219</v>
      </c>
      <c r="F117" s="45">
        <f t="shared" si="15"/>
        <v>1.9715266279887282E-3</v>
      </c>
      <c r="J117" s="49">
        <v>42736</v>
      </c>
      <c r="K117" s="45">
        <v>21.42</v>
      </c>
      <c r="L117" s="45">
        <f t="shared" si="18"/>
        <v>0.68866847782403917</v>
      </c>
      <c r="M117" s="45">
        <f t="shared" si="17"/>
        <v>0.74814545740672878</v>
      </c>
      <c r="N117" s="45">
        <f t="shared" si="16"/>
        <v>0.99713719054744876</v>
      </c>
    </row>
    <row r="118" spans="1:14" x14ac:dyDescent="0.2">
      <c r="A118" s="49">
        <v>42674</v>
      </c>
      <c r="B118" s="46">
        <v>1677.53</v>
      </c>
      <c r="C118" s="45">
        <f t="shared" si="12"/>
        <v>53.933801662192359</v>
      </c>
      <c r="D118" s="45">
        <f t="shared" si="13"/>
        <v>22.472417359246815</v>
      </c>
      <c r="E118" s="45">
        <f t="shared" si="10"/>
        <v>22.253978647728569</v>
      </c>
      <c r="F118" s="45">
        <f t="shared" si="15"/>
        <v>9.7203032511481973E-3</v>
      </c>
      <c r="J118" s="49">
        <v>42705</v>
      </c>
      <c r="K118" s="45">
        <v>22.21</v>
      </c>
      <c r="L118" s="45">
        <f t="shared" si="18"/>
        <v>0.71406754866815636</v>
      </c>
      <c r="M118" s="45">
        <f t="shared" si="17"/>
        <v>0.75666493459137185</v>
      </c>
      <c r="N118" s="45">
        <f t="shared" si="16"/>
        <v>0.98638741773200878</v>
      </c>
    </row>
    <row r="119" spans="1:14" x14ac:dyDescent="0.2">
      <c r="A119" s="49">
        <v>42643</v>
      </c>
      <c r="B119" s="46">
        <v>1737.41</v>
      </c>
      <c r="C119" s="45">
        <f t="shared" si="12"/>
        <v>55.85898693073127</v>
      </c>
      <c r="D119" s="45">
        <f t="shared" si="13"/>
        <v>23.274577887804696</v>
      </c>
      <c r="E119" s="45">
        <f t="shared" si="10"/>
        <v>21.998828837709539</v>
      </c>
      <c r="F119" s="45">
        <f t="shared" si="15"/>
        <v>5.4812983343668652E-2</v>
      </c>
      <c r="J119" s="49">
        <v>42675</v>
      </c>
      <c r="K119" s="45">
        <v>23.99</v>
      </c>
      <c r="L119" s="45">
        <f t="shared" si="18"/>
        <v>0.77129583487388875</v>
      </c>
      <c r="M119" s="45">
        <f t="shared" si="17"/>
        <v>0.75300720952074252</v>
      </c>
      <c r="N119" s="45">
        <f t="shared" si="16"/>
        <v>0.92893390465069614</v>
      </c>
    </row>
    <row r="120" spans="1:14" x14ac:dyDescent="0.2">
      <c r="A120" s="49">
        <v>42613</v>
      </c>
      <c r="B120" s="46">
        <v>1742.69</v>
      </c>
      <c r="C120" s="45">
        <f t="shared" si="12"/>
        <v>56.02874274599322</v>
      </c>
      <c r="D120" s="45">
        <f t="shared" si="13"/>
        <v>23.345309477497175</v>
      </c>
      <c r="E120" s="45">
        <f t="shared" si="10"/>
        <v>21.662208677762628</v>
      </c>
      <c r="F120" s="45">
        <f t="shared" si="15"/>
        <v>7.2095887242656073E-2</v>
      </c>
      <c r="J120" s="49">
        <v>42644</v>
      </c>
      <c r="K120" s="45">
        <v>25.18</v>
      </c>
      <c r="L120" s="45">
        <f t="shared" si="18"/>
        <v>0.80955519475300208</v>
      </c>
      <c r="M120" s="45">
        <f t="shared" si="17"/>
        <v>0.73887021321267754</v>
      </c>
      <c r="N120" s="45">
        <f t="shared" si="16"/>
        <v>0.91094382728943801</v>
      </c>
    </row>
    <row r="121" spans="1:14" x14ac:dyDescent="0.2">
      <c r="A121" s="49">
        <v>42580</v>
      </c>
      <c r="B121" s="46">
        <v>1743.87</v>
      </c>
      <c r="C121" s="45">
        <f t="shared" si="12"/>
        <v>56.06668059864645</v>
      </c>
      <c r="D121" s="45">
        <f t="shared" si="13"/>
        <v>23.361116916102688</v>
      </c>
      <c r="E121" s="45">
        <f t="shared" si="10"/>
        <v>21.237481618177611</v>
      </c>
      <c r="F121" s="45">
        <f t="shared" si="15"/>
        <v>9.0904698844311974E-2</v>
      </c>
      <c r="J121" s="49">
        <v>42614</v>
      </c>
      <c r="K121" s="45">
        <v>24.77</v>
      </c>
      <c r="L121" s="45">
        <f t="shared" si="18"/>
        <v>0.79637339849213107</v>
      </c>
      <c r="M121" s="45">
        <f t="shared" si="17"/>
        <v>0.72449441689281413</v>
      </c>
      <c r="N121" s="45">
        <f t="shared" si="16"/>
        <v>0.88585166328203246</v>
      </c>
    </row>
    <row r="122" spans="1:14" x14ac:dyDescent="0.2">
      <c r="A122" s="49">
        <v>42551</v>
      </c>
      <c r="B122" s="46">
        <v>1645.75</v>
      </c>
      <c r="C122" s="45">
        <f t="shared" si="12"/>
        <v>52.912051698361921</v>
      </c>
      <c r="D122" s="45">
        <f t="shared" si="13"/>
        <v>22.046688207650803</v>
      </c>
      <c r="E122" s="45">
        <f t="shared" si="10"/>
        <v>21.03517997080931</v>
      </c>
      <c r="F122" s="45">
        <f t="shared" si="15"/>
        <v>4.5880280399233489E-2</v>
      </c>
      <c r="J122" s="49">
        <v>42583</v>
      </c>
      <c r="K122" s="45">
        <v>26.83</v>
      </c>
      <c r="L122" s="45">
        <f t="shared" si="18"/>
        <v>0.86260388702236079</v>
      </c>
      <c r="M122" s="45">
        <f t="shared" si="17"/>
        <v>0.68996704936042752</v>
      </c>
      <c r="N122" s="45">
        <f t="shared" si="16"/>
        <v>0.94681187844213344</v>
      </c>
    </row>
    <row r="123" spans="1:14" x14ac:dyDescent="0.2">
      <c r="A123" s="49">
        <v>42521</v>
      </c>
      <c r="B123" s="46">
        <v>1632.51</v>
      </c>
      <c r="C123" s="45">
        <f t="shared" si="12"/>
        <v>52.486376131303551</v>
      </c>
      <c r="D123" s="45">
        <f t="shared" si="13"/>
        <v>21.869323388043146</v>
      </c>
      <c r="E123" s="45">
        <f t="shared" si="10"/>
        <v>20.826644116500848</v>
      </c>
      <c r="F123" s="45">
        <f t="shared" si="15"/>
        <v>4.7677710601342752E-2</v>
      </c>
      <c r="J123" s="49">
        <v>42552</v>
      </c>
      <c r="K123" s="45">
        <v>25.53</v>
      </c>
      <c r="L123" s="45">
        <f t="shared" si="18"/>
        <v>0.82080794765862364</v>
      </c>
      <c r="M123" s="45">
        <f t="shared" si="17"/>
        <v>0.65725682478587844</v>
      </c>
      <c r="N123" s="45">
        <f t="shared" si="16"/>
        <v>0.94191368305174838</v>
      </c>
    </row>
    <row r="124" spans="1:14" x14ac:dyDescent="0.2">
      <c r="A124" s="49">
        <v>42489</v>
      </c>
      <c r="B124" s="46">
        <v>1592.68</v>
      </c>
      <c r="C124" s="45">
        <f t="shared" si="12"/>
        <v>51.205812850643817</v>
      </c>
      <c r="D124" s="45">
        <f t="shared" si="13"/>
        <v>21.335755354434923</v>
      </c>
      <c r="E124" s="45">
        <f t="shared" si="10"/>
        <v>20.699366307017328</v>
      </c>
      <c r="F124" s="45">
        <f t="shared" si="15"/>
        <v>2.9827350231840404E-2</v>
      </c>
      <c r="J124" s="49">
        <v>42522</v>
      </c>
      <c r="K124" s="45">
        <v>20.87</v>
      </c>
      <c r="L124" s="45">
        <f t="shared" si="18"/>
        <v>0.67098558040091949</v>
      </c>
      <c r="M124" s="45">
        <f t="shared" si="17"/>
        <v>0.65382463588211814</v>
      </c>
      <c r="N124" s="45">
        <f t="shared" si="16"/>
        <v>0.95554695793310751</v>
      </c>
    </row>
    <row r="125" spans="1:14" x14ac:dyDescent="0.2">
      <c r="A125" s="49">
        <v>42460</v>
      </c>
      <c r="B125" s="46">
        <v>1648.35</v>
      </c>
      <c r="C125" s="45">
        <f t="shared" si="12"/>
        <v>52.995643577089389</v>
      </c>
      <c r="D125" s="45">
        <f t="shared" si="13"/>
        <v>22.081518157120577</v>
      </c>
      <c r="E125" s="45">
        <f t="shared" si="10"/>
        <v>20.353828344491514</v>
      </c>
      <c r="F125" s="45">
        <f t="shared" si="15"/>
        <v>7.8241441568270897E-2</v>
      </c>
      <c r="J125" s="49">
        <v>42491</v>
      </c>
      <c r="K125" s="45">
        <v>22.37</v>
      </c>
      <c r="L125" s="45">
        <f t="shared" si="18"/>
        <v>0.71921166428215477</v>
      </c>
      <c r="M125" s="45">
        <f t="shared" si="17"/>
        <v>0.63747787878210893</v>
      </c>
      <c r="N125" s="45">
        <f t="shared" si="16"/>
        <v>0.89121221824681651</v>
      </c>
    </row>
    <row r="126" spans="1:14" x14ac:dyDescent="0.2">
      <c r="A126" s="49">
        <v>42429</v>
      </c>
      <c r="B126" s="46">
        <v>1654.89</v>
      </c>
      <c r="C126" s="45">
        <f t="shared" si="12"/>
        <v>53.205909302811584</v>
      </c>
      <c r="D126" s="45">
        <f t="shared" si="13"/>
        <v>22.169128876171492</v>
      </c>
      <c r="E126" s="45">
        <f t="shared" si="10"/>
        <v>19.900003211571519</v>
      </c>
      <c r="F126" s="45">
        <f t="shared" si="15"/>
        <v>0.10235520201422728</v>
      </c>
      <c r="J126" s="49">
        <v>42461</v>
      </c>
      <c r="K126" s="45">
        <v>20.079999999999998</v>
      </c>
      <c r="L126" s="45">
        <f t="shared" si="18"/>
        <v>0.64558650955680219</v>
      </c>
      <c r="M126" s="45">
        <f t="shared" si="17"/>
        <v>0.6354507210884357</v>
      </c>
      <c r="N126" s="45">
        <f t="shared" si="16"/>
        <v>0.84145393297562154</v>
      </c>
    </row>
    <row r="127" spans="1:14" x14ac:dyDescent="0.2">
      <c r="A127" s="49">
        <v>42398</v>
      </c>
      <c r="B127" s="46">
        <v>1560.66</v>
      </c>
      <c r="C127" s="45">
        <f t="shared" si="12"/>
        <v>50.176346713392384</v>
      </c>
      <c r="D127" s="45">
        <f t="shared" si="13"/>
        <v>20.906811130580159</v>
      </c>
      <c r="E127" s="45">
        <f t="shared" si="10"/>
        <v>19.64830123181936</v>
      </c>
      <c r="F127" s="45">
        <f t="shared" si="15"/>
        <v>6.0196167215572673E-2</v>
      </c>
      <c r="J127" s="49">
        <v>42430</v>
      </c>
      <c r="K127" s="45">
        <v>20.2</v>
      </c>
      <c r="L127" s="45">
        <f t="shared" si="18"/>
        <v>0.64944459626730111</v>
      </c>
      <c r="M127" s="45">
        <f t="shared" si="17"/>
        <v>0.63195225229371932</v>
      </c>
      <c r="N127" s="45">
        <f t="shared" si="16"/>
        <v>0.90731131252526909</v>
      </c>
    </row>
    <row r="128" spans="1:14" x14ac:dyDescent="0.2">
      <c r="A128" s="49">
        <v>42369</v>
      </c>
      <c r="B128" s="46">
        <v>1462.75</v>
      </c>
      <c r="C128" s="45">
        <f t="shared" si="12"/>
        <v>47.02846946485122</v>
      </c>
      <c r="D128" s="45">
        <f t="shared" si="13"/>
        <v>19.595195610354676</v>
      </c>
      <c r="E128" s="45">
        <f t="shared" si="10"/>
        <v>19.66157763718553</v>
      </c>
      <c r="F128" s="45">
        <f t="shared" si="15"/>
        <v>3.3876684954232661E-3</v>
      </c>
      <c r="J128" s="49">
        <v>42401</v>
      </c>
      <c r="K128" s="45">
        <v>19.940000000000001</v>
      </c>
      <c r="L128" s="45">
        <f t="shared" si="18"/>
        <v>0.64108540839455375</v>
      </c>
      <c r="M128" s="45">
        <f t="shared" si="17"/>
        <v>0.62966896326851063</v>
      </c>
      <c r="N128" s="45">
        <f t="shared" si="16"/>
        <v>0.99471572983714152</v>
      </c>
    </row>
    <row r="129" spans="1:14" x14ac:dyDescent="0.2">
      <c r="A129" s="49">
        <v>42338</v>
      </c>
      <c r="B129" s="46">
        <v>1441.51</v>
      </c>
      <c r="C129" s="45">
        <f t="shared" si="12"/>
        <v>46.34558811709293</v>
      </c>
      <c r="D129" s="45">
        <f t="shared" si="13"/>
        <v>19.310661715455389</v>
      </c>
      <c r="E129" s="45">
        <f t="shared" si="10"/>
        <v>19.749306617618064</v>
      </c>
      <c r="F129" s="45">
        <f t="shared" si="15"/>
        <v>2.2715166814382313E-2</v>
      </c>
      <c r="J129" s="49">
        <v>42370</v>
      </c>
      <c r="K129" s="45">
        <v>19.149999999999999</v>
      </c>
      <c r="L129" s="45">
        <f t="shared" si="18"/>
        <v>0.61568633755043645</v>
      </c>
      <c r="M129" s="45">
        <f t="shared" si="17"/>
        <v>0.63316461969802917</v>
      </c>
      <c r="N129" s="45">
        <f t="shared" si="16"/>
        <v>0.96310594302813879</v>
      </c>
    </row>
    <row r="130" spans="1:14" x14ac:dyDescent="0.2">
      <c r="A130" s="49">
        <v>42307</v>
      </c>
      <c r="B130" s="46">
        <v>1514.53</v>
      </c>
      <c r="C130" s="45">
        <f t="shared" si="12"/>
        <v>48.693233880431464</v>
      </c>
      <c r="D130" s="45">
        <f t="shared" si="13"/>
        <v>20.288847450179777</v>
      </c>
      <c r="E130" s="45">
        <f t="shared" ref="E130:E193" si="19">($T$1*D131) + ((1-$T$1)*E131)</f>
        <v>19.614421409477636</v>
      </c>
      <c r="F130" s="45">
        <f t="shared" si="15"/>
        <v>3.3241219953879873E-2</v>
      </c>
      <c r="J130" s="49">
        <v>42339</v>
      </c>
      <c r="K130" s="45">
        <v>18.8</v>
      </c>
      <c r="L130" s="45">
        <f t="shared" si="18"/>
        <v>0.60443358464481489</v>
      </c>
      <c r="M130" s="45">
        <f t="shared" si="17"/>
        <v>0.64034737846133272</v>
      </c>
      <c r="N130" s="45">
        <f t="shared" si="16"/>
        <v>0.94500434655130305</v>
      </c>
    </row>
    <row r="131" spans="1:14" x14ac:dyDescent="0.2">
      <c r="A131" s="49">
        <v>42277</v>
      </c>
      <c r="B131" s="46">
        <v>1492.18</v>
      </c>
      <c r="C131" s="45">
        <f t="shared" si="12"/>
        <v>47.974665230601062</v>
      </c>
      <c r="D131" s="45">
        <f t="shared" si="13"/>
        <v>19.989443846083777</v>
      </c>
      <c r="E131" s="45">
        <f t="shared" si="19"/>
        <v>19.520665800326096</v>
      </c>
      <c r="F131" s="45">
        <f t="shared" si="15"/>
        <v>2.3451280053973143E-2</v>
      </c>
      <c r="J131" s="49">
        <v>42309</v>
      </c>
      <c r="K131" s="45">
        <v>20.34</v>
      </c>
      <c r="L131" s="45">
        <f t="shared" si="18"/>
        <v>0.65394569742954967</v>
      </c>
      <c r="M131" s="45">
        <f t="shared" si="17"/>
        <v>0.63694779871927842</v>
      </c>
      <c r="N131" s="45">
        <f t="shared" si="16"/>
        <v>0.96413879600989416</v>
      </c>
    </row>
    <row r="132" spans="1:14" x14ac:dyDescent="0.2">
      <c r="A132" s="49">
        <v>42247</v>
      </c>
      <c r="B132" s="46">
        <v>1468.35</v>
      </c>
      <c r="C132" s="45">
        <f t="shared" si="12"/>
        <v>47.208513511341167</v>
      </c>
      <c r="D132" s="45">
        <f t="shared" si="13"/>
        <v>19.670213963058821</v>
      </c>
      <c r="E132" s="45">
        <f t="shared" si="19"/>
        <v>19.483278759642914</v>
      </c>
      <c r="F132" s="45">
        <f t="shared" si="15"/>
        <v>9.5034656850696009E-3</v>
      </c>
      <c r="J132" s="49">
        <v>42278</v>
      </c>
      <c r="K132" s="45">
        <v>19.25</v>
      </c>
      <c r="L132" s="45">
        <f t="shared" si="18"/>
        <v>0.6189014098091854</v>
      </c>
      <c r="M132" s="45">
        <f t="shared" si="17"/>
        <v>0.64145939594680168</v>
      </c>
      <c r="N132" s="45">
        <f t="shared" si="16"/>
        <v>0.98464462104230832</v>
      </c>
    </row>
    <row r="133" spans="1:14" x14ac:dyDescent="0.2">
      <c r="A133" s="49">
        <v>42216</v>
      </c>
      <c r="B133" s="46">
        <v>1451.91</v>
      </c>
      <c r="C133" s="45">
        <f t="shared" si="12"/>
        <v>46.67995563200283</v>
      </c>
      <c r="D133" s="45">
        <f t="shared" si="13"/>
        <v>19.449981513334514</v>
      </c>
      <c r="E133" s="45">
        <f t="shared" si="19"/>
        <v>19.491603071220013</v>
      </c>
      <c r="F133" s="45">
        <f t="shared" si="15"/>
        <v>2.1399278892354689E-3</v>
      </c>
      <c r="J133" s="49">
        <v>42248</v>
      </c>
      <c r="K133" s="45">
        <v>19.38</v>
      </c>
      <c r="L133" s="45">
        <f t="shared" si="18"/>
        <v>0.62308100374555919</v>
      </c>
      <c r="M133" s="45">
        <f t="shared" si="17"/>
        <v>0.64605399399711227</v>
      </c>
      <c r="N133" s="45">
        <f t="shared" si="16"/>
        <v>0.99656557032493109</v>
      </c>
    </row>
    <row r="134" spans="1:14" x14ac:dyDescent="0.2">
      <c r="A134" s="49">
        <v>42185</v>
      </c>
      <c r="B134" s="46">
        <v>1461.25</v>
      </c>
      <c r="C134" s="45">
        <f t="shared" si="12"/>
        <v>46.980243380969988</v>
      </c>
      <c r="D134" s="45">
        <f t="shared" si="13"/>
        <v>19.575101408737495</v>
      </c>
      <c r="E134" s="45">
        <f t="shared" si="19"/>
        <v>19.470728486840642</v>
      </c>
      <c r="F134" s="45">
        <f t="shared" si="15"/>
        <v>5.3319224108982653E-3</v>
      </c>
      <c r="J134" s="49">
        <v>42217</v>
      </c>
      <c r="K134" s="45">
        <v>19.46</v>
      </c>
      <c r="L134" s="45">
        <f t="shared" si="18"/>
        <v>0.6256530615525584</v>
      </c>
      <c r="M134" s="45">
        <f t="shared" si="17"/>
        <v>0.65115422710825066</v>
      </c>
      <c r="N134" s="45">
        <f t="shared" si="16"/>
        <v>0.99147782894617809</v>
      </c>
    </row>
    <row r="135" spans="1:14" x14ac:dyDescent="0.2">
      <c r="A135" s="49">
        <v>42153</v>
      </c>
      <c r="B135" s="46">
        <v>1460.68</v>
      </c>
      <c r="C135" s="45">
        <f t="shared" si="12"/>
        <v>46.96191746909512</v>
      </c>
      <c r="D135" s="45">
        <f t="shared" si="13"/>
        <v>19.567465612122966</v>
      </c>
      <c r="E135" s="45">
        <f t="shared" si="19"/>
        <v>19.446544205520059</v>
      </c>
      <c r="F135" s="45">
        <f t="shared" si="15"/>
        <v>6.1797173430569591E-3</v>
      </c>
      <c r="J135" s="49">
        <v>42186</v>
      </c>
      <c r="K135" s="45">
        <v>19.57</v>
      </c>
      <c r="L135" s="45">
        <f t="shared" si="18"/>
        <v>0.62918964103718233</v>
      </c>
      <c r="M135" s="45">
        <f t="shared" si="17"/>
        <v>0.65664537362601771</v>
      </c>
      <c r="N135" s="45">
        <f t="shared" si="16"/>
        <v>0.9901782913449273</v>
      </c>
    </row>
    <row r="136" spans="1:14" x14ac:dyDescent="0.2">
      <c r="A136" s="49">
        <v>42124</v>
      </c>
      <c r="B136" s="46">
        <v>1476.37</v>
      </c>
      <c r="C136" s="45">
        <f t="shared" si="12"/>
        <v>47.466362306492833</v>
      </c>
      <c r="D136" s="45">
        <f t="shared" si="13"/>
        <v>19.777650961038681</v>
      </c>
      <c r="E136" s="45">
        <f t="shared" si="19"/>
        <v>19.363767516640404</v>
      </c>
      <c r="F136" s="45">
        <f t="shared" si="15"/>
        <v>2.0926825193427336E-2</v>
      </c>
      <c r="J136" s="49">
        <v>42156</v>
      </c>
      <c r="K136" s="45">
        <v>20.99</v>
      </c>
      <c r="L136" s="45">
        <f t="shared" si="18"/>
        <v>0.6748436671114183</v>
      </c>
      <c r="M136" s="45">
        <f t="shared" si="17"/>
        <v>0.65209580025466751</v>
      </c>
      <c r="N136" s="45">
        <f t="shared" si="16"/>
        <v>0.96899011398743362</v>
      </c>
    </row>
    <row r="137" spans="1:14" x14ac:dyDescent="0.2">
      <c r="A137" s="49">
        <v>42094</v>
      </c>
      <c r="B137" s="46">
        <v>1486.91</v>
      </c>
      <c r="C137" s="45">
        <f t="shared" si="12"/>
        <v>47.805230922564988</v>
      </c>
      <c r="D137" s="45">
        <f t="shared" si="13"/>
        <v>19.91884621773541</v>
      </c>
      <c r="E137" s="45">
        <f t="shared" si="19"/>
        <v>19.224997841366651</v>
      </c>
      <c r="F137" s="45">
        <f t="shared" si="15"/>
        <v>3.4833763400962864E-2</v>
      </c>
      <c r="J137" s="49">
        <v>42125</v>
      </c>
      <c r="K137" s="45">
        <v>19.670000000000002</v>
      </c>
      <c r="L137" s="45">
        <f t="shared" si="18"/>
        <v>0.6324047132959314</v>
      </c>
      <c r="M137" s="45">
        <f t="shared" si="17"/>
        <v>0.65701857199435154</v>
      </c>
      <c r="N137" s="45">
        <f t="shared" si="16"/>
        <v>0.94491855821342907</v>
      </c>
    </row>
    <row r="138" spans="1:14" x14ac:dyDescent="0.2">
      <c r="A138" s="49">
        <v>42062</v>
      </c>
      <c r="B138" s="46">
        <v>1534.53</v>
      </c>
      <c r="C138" s="45">
        <f t="shared" si="12"/>
        <v>49.336248332181263</v>
      </c>
      <c r="D138" s="45">
        <f t="shared" si="13"/>
        <v>20.556770138408858</v>
      </c>
      <c r="E138" s="45">
        <f t="shared" si="19"/>
        <v>18.892054767106099</v>
      </c>
      <c r="F138" s="45">
        <f t="shared" si="15"/>
        <v>8.0981368186452435E-2</v>
      </c>
      <c r="J138" s="49">
        <v>42095</v>
      </c>
      <c r="K138" s="45">
        <v>21.12</v>
      </c>
      <c r="L138" s="45">
        <f t="shared" si="18"/>
        <v>0.67902326104779209</v>
      </c>
      <c r="M138" s="45">
        <f t="shared" si="17"/>
        <v>0.65151739973099143</v>
      </c>
      <c r="N138" s="45">
        <f t="shared" si="16"/>
        <v>0.88073844766158516</v>
      </c>
    </row>
    <row r="139" spans="1:14" x14ac:dyDescent="0.2">
      <c r="A139" s="49">
        <v>42034</v>
      </c>
      <c r="B139" s="46">
        <v>1517.86</v>
      </c>
      <c r="C139" s="45">
        <f t="shared" si="12"/>
        <v>48.800295786647801</v>
      </c>
      <c r="D139" s="45">
        <f t="shared" si="13"/>
        <v>20.333456577769915</v>
      </c>
      <c r="E139" s="45">
        <f t="shared" si="19"/>
        <v>18.531704314440145</v>
      </c>
      <c r="F139" s="45">
        <f t="shared" si="15"/>
        <v>8.8610229964519852E-2</v>
      </c>
      <c r="J139" s="49">
        <v>42064</v>
      </c>
      <c r="K139" s="45">
        <v>20.71</v>
      </c>
      <c r="L139" s="45">
        <f t="shared" si="18"/>
        <v>0.66584146478692108</v>
      </c>
      <c r="M139" s="45">
        <f t="shared" si="17"/>
        <v>0.64793638346700899</v>
      </c>
      <c r="N139" s="45">
        <f t="shared" si="16"/>
        <v>0.86691992816506791</v>
      </c>
    </row>
    <row r="140" spans="1:14" x14ac:dyDescent="0.2">
      <c r="A140" s="49">
        <v>42004</v>
      </c>
      <c r="B140" s="46">
        <v>1385.64</v>
      </c>
      <c r="C140" s="45">
        <f t="shared" si="12"/>
        <v>44.549327246129856</v>
      </c>
      <c r="D140" s="45">
        <f t="shared" si="13"/>
        <v>18.562219685887442</v>
      </c>
      <c r="E140" s="45">
        <f t="shared" si="19"/>
        <v>18.524075471578318</v>
      </c>
      <c r="F140" s="45">
        <f t="shared" si="15"/>
        <v>2.0549381999893372E-3</v>
      </c>
      <c r="J140" s="49">
        <v>42036</v>
      </c>
      <c r="K140" s="45">
        <v>21.95</v>
      </c>
      <c r="L140" s="45">
        <f t="shared" si="18"/>
        <v>0.70570836079540888</v>
      </c>
      <c r="M140" s="45">
        <f t="shared" si="17"/>
        <v>0.63349338913490894</v>
      </c>
      <c r="N140" s="45">
        <f t="shared" si="16"/>
        <v>0.99708811980394674</v>
      </c>
    </row>
    <row r="141" spans="1:14" x14ac:dyDescent="0.2">
      <c r="A141" s="49">
        <v>41971</v>
      </c>
      <c r="B141" s="46">
        <v>1332.64</v>
      </c>
      <c r="C141" s="45">
        <f t="shared" si="12"/>
        <v>42.845338948992882</v>
      </c>
      <c r="D141" s="45">
        <f t="shared" si="13"/>
        <v>17.852224562080366</v>
      </c>
      <c r="E141" s="45">
        <f t="shared" si="19"/>
        <v>18.692038198952805</v>
      </c>
      <c r="F141" s="45">
        <f t="shared" si="15"/>
        <v>4.7042520328602289E-2</v>
      </c>
      <c r="J141" s="49">
        <v>42005</v>
      </c>
      <c r="K141" s="45">
        <v>18.239999999999998</v>
      </c>
      <c r="L141" s="45">
        <f t="shared" si="18"/>
        <v>0.58642917999582034</v>
      </c>
      <c r="M141" s="45">
        <f t="shared" ref="M141:M172" si="20">($T$1*L142) + ((1-$T$1)*M142)</f>
        <v>0.64525944141968106</v>
      </c>
      <c r="N141" s="45">
        <f t="shared" si="16"/>
        <v>0.91978141277189251</v>
      </c>
    </row>
    <row r="142" spans="1:14" x14ac:dyDescent="0.2">
      <c r="A142" s="49">
        <v>41943</v>
      </c>
      <c r="B142" s="46">
        <v>1371.08</v>
      </c>
      <c r="C142" s="45">
        <f t="shared" ref="C142:C205" si="21">B142/(31.1035)</f>
        <v>44.081212725255995</v>
      </c>
      <c r="D142" s="45">
        <f t="shared" ref="D142:D205" si="22">(C142/24)*10</f>
        <v>18.367171968856663</v>
      </c>
      <c r="E142" s="45">
        <f t="shared" si="19"/>
        <v>18.773254756476838</v>
      </c>
      <c r="F142" s="45">
        <f t="shared" si="15"/>
        <v>2.2109162385408488E-2</v>
      </c>
      <c r="J142" s="49">
        <v>41974</v>
      </c>
      <c r="K142" s="45">
        <v>17.64</v>
      </c>
      <c r="L142" s="45">
        <f t="shared" ref="L142:L173" si="23">K142/(31.1035)</f>
        <v>0.56713874644332629</v>
      </c>
      <c r="M142" s="45">
        <f t="shared" si="20"/>
        <v>0.66478961516376966</v>
      </c>
      <c r="N142" s="45">
        <f t="shared" si="16"/>
        <v>0.96101630769532009</v>
      </c>
    </row>
    <row r="143" spans="1:14" x14ac:dyDescent="0.2">
      <c r="A143" s="49">
        <v>41912</v>
      </c>
      <c r="B143" s="46">
        <v>1363.43</v>
      </c>
      <c r="C143" s="45">
        <f t="shared" si="21"/>
        <v>43.835259697461701</v>
      </c>
      <c r="D143" s="45">
        <f t="shared" si="22"/>
        <v>18.264691540609043</v>
      </c>
      <c r="E143" s="45">
        <f t="shared" si="19"/>
        <v>18.900395560443787</v>
      </c>
      <c r="F143" s="45">
        <f t="shared" ref="F143:F206" si="24">ABS((D143-E143)/D143)</f>
        <v>3.4805078334958092E-2</v>
      </c>
      <c r="J143" s="49">
        <v>41944</v>
      </c>
      <c r="K143" s="45">
        <v>18.25</v>
      </c>
      <c r="L143" s="45">
        <f t="shared" si="23"/>
        <v>0.58675068722169532</v>
      </c>
      <c r="M143" s="45">
        <f t="shared" si="20"/>
        <v>0.6842993471492882</v>
      </c>
      <c r="N143" s="45">
        <f t="shared" ref="N143:N206" si="25">ABS((L143-F143)/L143)</f>
        <v>0.94068165731554154</v>
      </c>
    </row>
    <row r="144" spans="1:14" x14ac:dyDescent="0.2">
      <c r="A144" s="49">
        <v>41880</v>
      </c>
      <c r="B144" s="46">
        <v>1415.56</v>
      </c>
      <c r="C144" s="45">
        <f t="shared" si="21"/>
        <v>45.511276865947558</v>
      </c>
      <c r="D144" s="45">
        <f t="shared" si="22"/>
        <v>18.96303202747815</v>
      </c>
      <c r="E144" s="45">
        <f t="shared" si="19"/>
        <v>18.884736443685195</v>
      </c>
      <c r="F144" s="45">
        <f t="shared" si="24"/>
        <v>4.1288536389909036E-3</v>
      </c>
      <c r="J144" s="49">
        <v>41913</v>
      </c>
      <c r="K144" s="45">
        <v>19.18</v>
      </c>
      <c r="L144" s="45">
        <f t="shared" si="23"/>
        <v>0.61665085922806118</v>
      </c>
      <c r="M144" s="45">
        <f t="shared" si="20"/>
        <v>0.70121146912959498</v>
      </c>
      <c r="N144" s="45">
        <f t="shared" si="25"/>
        <v>0.99330439003334969</v>
      </c>
    </row>
    <row r="145" spans="1:14" x14ac:dyDescent="0.2">
      <c r="A145" s="49">
        <v>41851</v>
      </c>
      <c r="B145" s="46">
        <v>1407.15</v>
      </c>
      <c r="C145" s="45">
        <f t="shared" si="21"/>
        <v>45.240889288986772</v>
      </c>
      <c r="D145" s="45">
        <f t="shared" si="22"/>
        <v>18.850370537077822</v>
      </c>
      <c r="E145" s="45">
        <f t="shared" si="19"/>
        <v>18.893327920337036</v>
      </c>
      <c r="F145" s="45">
        <f t="shared" si="24"/>
        <v>2.2788614778005999E-3</v>
      </c>
      <c r="J145" s="49">
        <v>41883</v>
      </c>
      <c r="K145" s="45">
        <v>21.17</v>
      </c>
      <c r="L145" s="45">
        <f t="shared" si="23"/>
        <v>0.68063079717716657</v>
      </c>
      <c r="M145" s="45">
        <f t="shared" si="20"/>
        <v>0.70635663711770191</v>
      </c>
      <c r="N145" s="45">
        <f t="shared" si="25"/>
        <v>0.99665183901866927</v>
      </c>
    </row>
    <row r="146" spans="1:14" x14ac:dyDescent="0.2">
      <c r="A146" s="49">
        <v>41820</v>
      </c>
      <c r="B146" s="46">
        <v>1384.96</v>
      </c>
      <c r="C146" s="45">
        <f t="shared" si="21"/>
        <v>44.527464754770364</v>
      </c>
      <c r="D146" s="45">
        <f t="shared" si="22"/>
        <v>18.55311031448765</v>
      </c>
      <c r="E146" s="45">
        <f t="shared" si="19"/>
        <v>18.97838232179938</v>
      </c>
      <c r="F146" s="45">
        <f t="shared" si="24"/>
        <v>2.2921871325243266E-2</v>
      </c>
      <c r="J146" s="49">
        <v>41852</v>
      </c>
      <c r="K146" s="45">
        <v>22.15</v>
      </c>
      <c r="L146" s="45">
        <f t="shared" si="23"/>
        <v>0.7121385053129069</v>
      </c>
      <c r="M146" s="45">
        <f t="shared" si="20"/>
        <v>0.70491117006890058</v>
      </c>
      <c r="N146" s="45">
        <f t="shared" si="25"/>
        <v>0.96781262190678541</v>
      </c>
    </row>
    <row r="147" spans="1:14" x14ac:dyDescent="0.2">
      <c r="A147" s="49">
        <v>41789</v>
      </c>
      <c r="B147" s="46">
        <v>1402.17</v>
      </c>
      <c r="C147" s="45">
        <f t="shared" si="21"/>
        <v>45.08077869050107</v>
      </c>
      <c r="D147" s="45">
        <f t="shared" si="22"/>
        <v>18.78365778770878</v>
      </c>
      <c r="E147" s="45">
        <f t="shared" si="19"/>
        <v>19.027063455322029</v>
      </c>
      <c r="F147" s="45">
        <f t="shared" si="24"/>
        <v>1.2958374261509569E-2</v>
      </c>
      <c r="J147" s="49">
        <v>41821</v>
      </c>
      <c r="K147" s="45">
        <v>22.36</v>
      </c>
      <c r="L147" s="45">
        <f t="shared" si="23"/>
        <v>0.71889015705627979</v>
      </c>
      <c r="M147" s="45">
        <f t="shared" si="20"/>
        <v>0.70141642332205567</v>
      </c>
      <c r="N147" s="45">
        <f t="shared" si="25"/>
        <v>0.98197447254727799</v>
      </c>
    </row>
    <row r="148" spans="1:14" x14ac:dyDescent="0.2">
      <c r="A148" s="49">
        <v>41759</v>
      </c>
      <c r="B148" s="46">
        <v>1427.2</v>
      </c>
      <c r="C148" s="45">
        <f t="shared" si="21"/>
        <v>45.885511276865948</v>
      </c>
      <c r="D148" s="45">
        <f t="shared" si="22"/>
        <v>19.11896303202748</v>
      </c>
      <c r="E148" s="45">
        <f t="shared" si="19"/>
        <v>19.004088561145664</v>
      </c>
      <c r="F148" s="45">
        <f t="shared" si="24"/>
        <v>6.0084048852116932E-3</v>
      </c>
      <c r="J148" s="49">
        <v>41791</v>
      </c>
      <c r="K148" s="45">
        <v>20.329999999999998</v>
      </c>
      <c r="L148" s="45">
        <f t="shared" si="23"/>
        <v>0.65362419020367479</v>
      </c>
      <c r="M148" s="45">
        <f t="shared" si="20"/>
        <v>0.71336448160165089</v>
      </c>
      <c r="N148" s="45">
        <f t="shared" si="25"/>
        <v>0.99080755428690692</v>
      </c>
    </row>
    <row r="149" spans="1:14" x14ac:dyDescent="0.2">
      <c r="A149" s="49">
        <v>41729</v>
      </c>
      <c r="B149" s="46">
        <v>1483.72</v>
      </c>
      <c r="C149" s="45">
        <f t="shared" si="21"/>
        <v>47.702670117510891</v>
      </c>
      <c r="D149" s="45">
        <f t="shared" si="22"/>
        <v>19.876112548962872</v>
      </c>
      <c r="E149" s="45">
        <f t="shared" si="19"/>
        <v>18.786082564191361</v>
      </c>
      <c r="F149" s="45">
        <f t="shared" si="24"/>
        <v>5.4841206100354326E-2</v>
      </c>
      <c r="J149" s="49">
        <v>41760</v>
      </c>
      <c r="K149" s="45">
        <v>20.86</v>
      </c>
      <c r="L149" s="45">
        <f t="shared" si="23"/>
        <v>0.67066407317504462</v>
      </c>
      <c r="M149" s="45">
        <f t="shared" si="20"/>
        <v>0.72403958370830246</v>
      </c>
      <c r="N149" s="45">
        <f t="shared" si="25"/>
        <v>0.91822850172855364</v>
      </c>
    </row>
    <row r="150" spans="1:14" x14ac:dyDescent="0.2">
      <c r="A150" s="49">
        <v>41698</v>
      </c>
      <c r="B150" s="46">
        <v>1437.59</v>
      </c>
      <c r="C150" s="45">
        <f t="shared" si="21"/>
        <v>46.219557284549964</v>
      </c>
      <c r="D150" s="45">
        <f t="shared" si="22"/>
        <v>19.258148868562486</v>
      </c>
      <c r="E150" s="45">
        <f t="shared" si="19"/>
        <v>18.668065988098576</v>
      </c>
      <c r="F150" s="45">
        <f t="shared" si="24"/>
        <v>3.0640685379017783E-2</v>
      </c>
      <c r="J150" s="49">
        <v>41730</v>
      </c>
      <c r="K150" s="45">
        <v>21.83</v>
      </c>
      <c r="L150" s="45">
        <f t="shared" si="23"/>
        <v>0.70185027408490996</v>
      </c>
      <c r="M150" s="45">
        <f t="shared" si="20"/>
        <v>0.72958691111415042</v>
      </c>
      <c r="N150" s="45">
        <f t="shared" si="25"/>
        <v>0.95634298865385803</v>
      </c>
    </row>
    <row r="151" spans="1:14" x14ac:dyDescent="0.2">
      <c r="A151" s="49">
        <v>41670</v>
      </c>
      <c r="B151" s="46">
        <v>1362.24</v>
      </c>
      <c r="C151" s="45">
        <f t="shared" si="21"/>
        <v>43.797000337582588</v>
      </c>
      <c r="D151" s="45">
        <f t="shared" si="22"/>
        <v>18.248750140659411</v>
      </c>
      <c r="E151" s="45">
        <f t="shared" si="19"/>
        <v>18.772894949958363</v>
      </c>
      <c r="F151" s="45">
        <f t="shared" si="24"/>
        <v>2.8722230577924564E-2</v>
      </c>
      <c r="J151" s="49">
        <v>41699</v>
      </c>
      <c r="K151" s="45">
        <v>23.53</v>
      </c>
      <c r="L151" s="45">
        <f t="shared" si="23"/>
        <v>0.75650650248364337</v>
      </c>
      <c r="M151" s="45">
        <f t="shared" si="20"/>
        <v>0.7228570132717772</v>
      </c>
      <c r="N151" s="45">
        <f t="shared" si="25"/>
        <v>0.96203306847511783</v>
      </c>
    </row>
    <row r="152" spans="1:14" x14ac:dyDescent="0.2">
      <c r="A152" s="49">
        <v>41639</v>
      </c>
      <c r="B152" s="46">
        <v>1303.6500000000001</v>
      </c>
      <c r="C152" s="45">
        <f t="shared" si="21"/>
        <v>41.913289501181545</v>
      </c>
      <c r="D152" s="45">
        <f t="shared" si="22"/>
        <v>17.463870625492312</v>
      </c>
      <c r="E152" s="45">
        <f t="shared" si="19"/>
        <v>19.100151031074873</v>
      </c>
      <c r="F152" s="45">
        <f t="shared" si="24"/>
        <v>9.3695174493222247E-2</v>
      </c>
      <c r="J152" s="49">
        <v>41671</v>
      </c>
      <c r="K152" s="45">
        <v>21.31</v>
      </c>
      <c r="L152" s="45">
        <f t="shared" si="23"/>
        <v>0.68513189833941512</v>
      </c>
      <c r="M152" s="45">
        <f t="shared" si="20"/>
        <v>0.73228829200486778</v>
      </c>
      <c r="N152" s="45">
        <f t="shared" si="25"/>
        <v>0.86324505584936928</v>
      </c>
    </row>
    <row r="153" spans="1:14" x14ac:dyDescent="0.2">
      <c r="A153" s="49">
        <v>41607</v>
      </c>
      <c r="B153" s="46">
        <v>1338.61</v>
      </c>
      <c r="C153" s="45">
        <f t="shared" si="21"/>
        <v>43.037278762840188</v>
      </c>
      <c r="D153" s="45">
        <f t="shared" si="22"/>
        <v>17.932199484516744</v>
      </c>
      <c r="E153" s="45">
        <f t="shared" si="19"/>
        <v>19.392138917714401</v>
      </c>
      <c r="F153" s="45">
        <f t="shared" si="24"/>
        <v>8.141440956298851E-2</v>
      </c>
      <c r="J153" s="49">
        <v>41640</v>
      </c>
      <c r="K153" s="45">
        <v>20.65</v>
      </c>
      <c r="L153" s="45">
        <f t="shared" si="23"/>
        <v>0.66391242143167162</v>
      </c>
      <c r="M153" s="45">
        <f t="shared" si="20"/>
        <v>0.74938225964816685</v>
      </c>
      <c r="N153" s="45">
        <f t="shared" si="25"/>
        <v>0.87737176330060951</v>
      </c>
    </row>
    <row r="154" spans="1:14" x14ac:dyDescent="0.2">
      <c r="A154" s="49">
        <v>41578</v>
      </c>
      <c r="B154" s="46">
        <v>1364.2</v>
      </c>
      <c r="C154" s="45">
        <f t="shared" si="21"/>
        <v>43.860015753854071</v>
      </c>
      <c r="D154" s="45">
        <f t="shared" si="22"/>
        <v>18.275006564105862</v>
      </c>
      <c r="E154" s="45">
        <f t="shared" si="19"/>
        <v>19.671422006116536</v>
      </c>
      <c r="F154" s="45">
        <f t="shared" si="24"/>
        <v>7.6411214251128595E-2</v>
      </c>
      <c r="J154" s="49">
        <v>41609</v>
      </c>
      <c r="K154" s="45">
        <v>21.19</v>
      </c>
      <c r="L154" s="45">
        <f t="shared" si="23"/>
        <v>0.68127381162891643</v>
      </c>
      <c r="M154" s="45">
        <f t="shared" si="20"/>
        <v>0.7664093716529794</v>
      </c>
      <c r="N154" s="45">
        <f t="shared" si="25"/>
        <v>0.88784067001132705</v>
      </c>
    </row>
    <row r="155" spans="1:14" x14ac:dyDescent="0.2">
      <c r="A155" s="49">
        <v>41547</v>
      </c>
      <c r="B155" s="46">
        <v>1396.93</v>
      </c>
      <c r="C155" s="45">
        <f t="shared" si="21"/>
        <v>44.91230890414262</v>
      </c>
      <c r="D155" s="45">
        <f t="shared" si="22"/>
        <v>18.713462043392759</v>
      </c>
      <c r="E155" s="45">
        <f t="shared" si="19"/>
        <v>19.910911996797477</v>
      </c>
      <c r="F155" s="45">
        <f t="shared" si="24"/>
        <v>6.398869170376234E-2</v>
      </c>
      <c r="J155" s="49">
        <v>41579</v>
      </c>
      <c r="K155" s="45">
        <v>22.84</v>
      </c>
      <c r="L155" s="45">
        <f t="shared" si="23"/>
        <v>0.73432250389827514</v>
      </c>
      <c r="M155" s="45">
        <f t="shared" si="20"/>
        <v>0.77443108859165533</v>
      </c>
      <c r="N155" s="45">
        <f t="shared" si="25"/>
        <v>0.91286023325709409</v>
      </c>
    </row>
    <row r="156" spans="1:14" x14ac:dyDescent="0.2">
      <c r="A156" s="49">
        <v>41516</v>
      </c>
      <c r="B156" s="46">
        <v>1400.93</v>
      </c>
      <c r="C156" s="45">
        <f t="shared" si="21"/>
        <v>45.04091179449258</v>
      </c>
      <c r="D156" s="45">
        <f t="shared" si="22"/>
        <v>18.767046581038574</v>
      </c>
      <c r="E156" s="45">
        <f t="shared" si="19"/>
        <v>20.196878350737201</v>
      </c>
      <c r="F156" s="45">
        <f t="shared" si="24"/>
        <v>7.6188427599645211E-2</v>
      </c>
      <c r="J156" s="49">
        <v>41548</v>
      </c>
      <c r="K156" s="45">
        <v>21.86</v>
      </c>
      <c r="L156" s="45">
        <f t="shared" si="23"/>
        <v>0.70281479576253469</v>
      </c>
      <c r="M156" s="45">
        <f t="shared" si="20"/>
        <v>0.79233516179893537</v>
      </c>
      <c r="N156" s="45">
        <f t="shared" si="25"/>
        <v>0.89159529927513437</v>
      </c>
    </row>
    <row r="157" spans="1:14" x14ac:dyDescent="0.2">
      <c r="A157" s="49">
        <v>41486</v>
      </c>
      <c r="B157" s="46">
        <v>1338.53</v>
      </c>
      <c r="C157" s="45">
        <f t="shared" si="21"/>
        <v>43.034706705033194</v>
      </c>
      <c r="D157" s="45">
        <f t="shared" si="22"/>
        <v>17.931127793763832</v>
      </c>
      <c r="E157" s="45">
        <f t="shared" si="19"/>
        <v>20.763315989980544</v>
      </c>
      <c r="F157" s="45">
        <f t="shared" si="24"/>
        <v>0.15794813515308856</v>
      </c>
      <c r="J157" s="49">
        <v>41518</v>
      </c>
      <c r="K157" s="45">
        <v>24.75</v>
      </c>
      <c r="L157" s="45">
        <f t="shared" si="23"/>
        <v>0.79573038404038132</v>
      </c>
      <c r="M157" s="45">
        <f t="shared" si="20"/>
        <v>0.79148635623857388</v>
      </c>
      <c r="N157" s="45">
        <f t="shared" si="25"/>
        <v>0.80150546174811754</v>
      </c>
    </row>
    <row r="158" spans="1:14" x14ac:dyDescent="0.2">
      <c r="A158" s="49">
        <v>41453</v>
      </c>
      <c r="B158" s="46">
        <v>1383.66</v>
      </c>
      <c r="C158" s="45">
        <f t="shared" si="21"/>
        <v>44.485668815406626</v>
      </c>
      <c r="D158" s="45">
        <f t="shared" si="22"/>
        <v>18.53569533975276</v>
      </c>
      <c r="E158" s="45">
        <f t="shared" si="19"/>
        <v>21.320221152537489</v>
      </c>
      <c r="F158" s="45">
        <f t="shared" si="24"/>
        <v>0.1502250528909411</v>
      </c>
      <c r="J158" s="49">
        <v>41487</v>
      </c>
      <c r="K158" s="45">
        <v>20.309999999999999</v>
      </c>
      <c r="L158" s="45">
        <f t="shared" si="23"/>
        <v>0.65298117575192494</v>
      </c>
      <c r="M158" s="45">
        <f t="shared" si="20"/>
        <v>0.82611265136023604</v>
      </c>
      <c r="N158" s="45">
        <f t="shared" si="25"/>
        <v>0.76993968820318126</v>
      </c>
    </row>
    <row r="159" spans="1:14" x14ac:dyDescent="0.2">
      <c r="A159" s="49">
        <v>41425</v>
      </c>
      <c r="B159" s="46">
        <v>1441.69</v>
      </c>
      <c r="C159" s="45">
        <f t="shared" si="21"/>
        <v>46.351375247158678</v>
      </c>
      <c r="D159" s="45">
        <f t="shared" si="22"/>
        <v>19.313073019649451</v>
      </c>
      <c r="E159" s="45">
        <f t="shared" si="19"/>
        <v>21.822008185759497</v>
      </c>
      <c r="F159" s="45">
        <f t="shared" si="24"/>
        <v>0.12990864600146296</v>
      </c>
      <c r="J159" s="49">
        <v>41456</v>
      </c>
      <c r="K159" s="45">
        <v>20.58</v>
      </c>
      <c r="L159" s="45">
        <f t="shared" si="23"/>
        <v>0.66166187085054728</v>
      </c>
      <c r="M159" s="45">
        <f t="shared" si="20"/>
        <v>0.86722534648765814</v>
      </c>
      <c r="N159" s="45">
        <f t="shared" si="25"/>
        <v>0.80366309179268702</v>
      </c>
    </row>
    <row r="160" spans="1:14" x14ac:dyDescent="0.2">
      <c r="A160" s="49">
        <v>41394</v>
      </c>
      <c r="B160" s="46">
        <v>1512.63</v>
      </c>
      <c r="C160" s="45">
        <f t="shared" si="21"/>
        <v>48.632147507515235</v>
      </c>
      <c r="D160" s="45">
        <f t="shared" si="22"/>
        <v>20.263394794798014</v>
      </c>
      <c r="E160" s="45">
        <f t="shared" si="19"/>
        <v>22.211661533499868</v>
      </c>
      <c r="F160" s="45">
        <f t="shared" si="24"/>
        <v>9.6147104590885712E-2</v>
      </c>
      <c r="J160" s="49">
        <v>41426</v>
      </c>
      <c r="K160" s="45">
        <v>22.19</v>
      </c>
      <c r="L160" s="45">
        <f t="shared" si="23"/>
        <v>0.7134245342164065</v>
      </c>
      <c r="M160" s="45">
        <f t="shared" si="20"/>
        <v>0.90567554955547103</v>
      </c>
      <c r="N160" s="45">
        <f t="shared" si="25"/>
        <v>0.86523156973219406</v>
      </c>
    </row>
    <row r="161" spans="1:14" x14ac:dyDescent="0.2">
      <c r="A161" s="49">
        <v>41362</v>
      </c>
      <c r="B161" s="46">
        <v>1631.84</v>
      </c>
      <c r="C161" s="45">
        <f t="shared" si="21"/>
        <v>52.464835147169929</v>
      </c>
      <c r="D161" s="45">
        <f t="shared" si="22"/>
        <v>21.86034797798747</v>
      </c>
      <c r="E161" s="45">
        <f t="shared" si="19"/>
        <v>22.299489922377965</v>
      </c>
      <c r="F161" s="45">
        <f t="shared" si="24"/>
        <v>2.0088515737841633E-2</v>
      </c>
      <c r="J161" s="49">
        <v>41426</v>
      </c>
      <c r="K161" s="45">
        <v>23.0703</v>
      </c>
      <c r="L161" s="45">
        <f t="shared" si="23"/>
        <v>0.74172681531017404</v>
      </c>
      <c r="M161" s="45">
        <f t="shared" si="20"/>
        <v>0.94666273311679516</v>
      </c>
      <c r="N161" s="45">
        <f t="shared" si="25"/>
        <v>0.97291655725101289</v>
      </c>
    </row>
    <row r="162" spans="1:14" x14ac:dyDescent="0.2">
      <c r="A162" s="49">
        <v>41333</v>
      </c>
      <c r="B162" s="46">
        <v>1643.85</v>
      </c>
      <c r="C162" s="45">
        <f t="shared" si="21"/>
        <v>52.850965325445685</v>
      </c>
      <c r="D162" s="45">
        <f t="shared" si="22"/>
        <v>22.021235552269033</v>
      </c>
      <c r="E162" s="45">
        <f t="shared" si="19"/>
        <v>22.3690535149052</v>
      </c>
      <c r="F162" s="45">
        <f t="shared" si="24"/>
        <v>1.5794661557958254E-2</v>
      </c>
      <c r="J162" s="49">
        <v>41395</v>
      </c>
      <c r="K162" s="45">
        <v>24.506399999999999</v>
      </c>
      <c r="L162" s="45">
        <f t="shared" si="23"/>
        <v>0.78789846801806862</v>
      </c>
      <c r="M162" s="45">
        <f t="shared" si="20"/>
        <v>0.9863537993914766</v>
      </c>
      <c r="N162" s="45">
        <f t="shared" si="25"/>
        <v>0.97995343029706705</v>
      </c>
    </row>
    <row r="163" spans="1:14" x14ac:dyDescent="0.2">
      <c r="A163" s="49">
        <v>41305</v>
      </c>
      <c r="B163" s="46">
        <v>1657.72</v>
      </c>
      <c r="C163" s="45">
        <f t="shared" si="21"/>
        <v>53.296895847734177</v>
      </c>
      <c r="D163" s="45">
        <f t="shared" si="22"/>
        <v>22.207039936555905</v>
      </c>
      <c r="E163" s="45">
        <f t="shared" si="19"/>
        <v>22.409556909492526</v>
      </c>
      <c r="F163" s="45">
        <f t="shared" si="24"/>
        <v>9.11949424665328E-3</v>
      </c>
      <c r="J163" s="49">
        <v>41365</v>
      </c>
      <c r="K163" s="45">
        <v>29.236999999999998</v>
      </c>
      <c r="L163" s="45">
        <f t="shared" si="23"/>
        <v>0.93999067629044952</v>
      </c>
      <c r="M163" s="45">
        <f t="shared" si="20"/>
        <v>0.99794458016673326</v>
      </c>
      <c r="N163" s="45">
        <f t="shared" si="25"/>
        <v>0.99029831414643155</v>
      </c>
    </row>
    <row r="164" spans="1:14" x14ac:dyDescent="0.2">
      <c r="A164" s="49">
        <v>41274</v>
      </c>
      <c r="B164" s="46">
        <v>1669.89</v>
      </c>
      <c r="C164" s="45">
        <f t="shared" si="21"/>
        <v>53.688170141623935</v>
      </c>
      <c r="D164" s="45">
        <f t="shared" si="22"/>
        <v>22.370070892343307</v>
      </c>
      <c r="E164" s="45">
        <f t="shared" si="19"/>
        <v>22.41942841377983</v>
      </c>
      <c r="F164" s="45">
        <f t="shared" si="24"/>
        <v>2.2064088072879886E-3</v>
      </c>
      <c r="J164" s="49">
        <v>41334</v>
      </c>
      <c r="K164" s="45">
        <v>29.398800000000001</v>
      </c>
      <c r="L164" s="45">
        <f t="shared" si="23"/>
        <v>0.94519266320510553</v>
      </c>
      <c r="M164" s="45">
        <f t="shared" si="20"/>
        <v>1.0111325594071401</v>
      </c>
      <c r="N164" s="45">
        <f t="shared" si="25"/>
        <v>0.99766565178383193</v>
      </c>
    </row>
    <row r="165" spans="1:14" x14ac:dyDescent="0.2">
      <c r="A165" s="49">
        <v>41243</v>
      </c>
      <c r="B165" s="46">
        <v>1715.75</v>
      </c>
      <c r="C165" s="45">
        <f t="shared" si="21"/>
        <v>55.162602279486229</v>
      </c>
      <c r="D165" s="45">
        <f t="shared" si="22"/>
        <v>22.984417616452596</v>
      </c>
      <c r="E165" s="45">
        <f t="shared" si="19"/>
        <v>22.278181113111639</v>
      </c>
      <c r="F165" s="45">
        <f t="shared" si="24"/>
        <v>3.072675214687285E-2</v>
      </c>
      <c r="J165" s="49">
        <v>41306</v>
      </c>
      <c r="K165" s="45">
        <v>31.371400000000001</v>
      </c>
      <c r="L165" s="45">
        <f t="shared" si="23"/>
        <v>1.0086131785811887</v>
      </c>
      <c r="M165" s="45">
        <f t="shared" si="20"/>
        <v>1.0117624046136278</v>
      </c>
      <c r="N165" s="45">
        <f t="shared" si="25"/>
        <v>0.96953564280203441</v>
      </c>
    </row>
    <row r="166" spans="1:14" x14ac:dyDescent="0.2">
      <c r="A166" s="49">
        <v>41213</v>
      </c>
      <c r="B166" s="46">
        <v>1723.54</v>
      </c>
      <c r="C166" s="45">
        <f t="shared" si="21"/>
        <v>55.413056408442777</v>
      </c>
      <c r="D166" s="45">
        <f t="shared" si="22"/>
        <v>23.088773503517825</v>
      </c>
      <c r="E166" s="45">
        <f t="shared" si="19"/>
        <v>22.075533015510093</v>
      </c>
      <c r="F166" s="45">
        <f t="shared" si="24"/>
        <v>4.3884552284830271E-2</v>
      </c>
      <c r="J166" s="49">
        <v>41275</v>
      </c>
      <c r="K166" s="45">
        <v>30.112500000000001</v>
      </c>
      <c r="L166" s="45">
        <f t="shared" si="23"/>
        <v>0.96813863391579724</v>
      </c>
      <c r="M166" s="45">
        <f t="shared" si="20"/>
        <v>1.0226683472880853</v>
      </c>
      <c r="N166" s="45">
        <f t="shared" si="25"/>
        <v>0.95467121056069015</v>
      </c>
    </row>
    <row r="167" spans="1:14" x14ac:dyDescent="0.2">
      <c r="A167" s="49">
        <v>41180</v>
      </c>
      <c r="B167" s="46">
        <v>1706.91</v>
      </c>
      <c r="C167" s="45">
        <f t="shared" si="21"/>
        <v>54.878389891812823</v>
      </c>
      <c r="D167" s="45">
        <f t="shared" si="22"/>
        <v>22.865995788255344</v>
      </c>
      <c r="E167" s="45">
        <f t="shared" si="19"/>
        <v>21.877917322323778</v>
      </c>
      <c r="F167" s="45">
        <f t="shared" si="24"/>
        <v>4.3211696314536696E-2</v>
      </c>
      <c r="J167" s="49">
        <v>41244</v>
      </c>
      <c r="K167" s="45">
        <v>33.121699999999997</v>
      </c>
      <c r="L167" s="45">
        <f t="shared" si="23"/>
        <v>1.0648865883260725</v>
      </c>
      <c r="M167" s="45">
        <f t="shared" si="20"/>
        <v>1.0121137870285883</v>
      </c>
      <c r="N167" s="45">
        <f t="shared" si="25"/>
        <v>0.95942131604600023</v>
      </c>
    </row>
    <row r="168" spans="1:14" x14ac:dyDescent="0.2">
      <c r="A168" s="49">
        <v>41152</v>
      </c>
      <c r="B168" s="46">
        <v>1614.07</v>
      </c>
      <c r="C168" s="45">
        <f t="shared" si="21"/>
        <v>51.893516806790231</v>
      </c>
      <c r="D168" s="45">
        <f t="shared" si="22"/>
        <v>21.62229866949593</v>
      </c>
      <c r="E168" s="45">
        <f t="shared" si="19"/>
        <v>21.941821985530741</v>
      </c>
      <c r="F168" s="45">
        <f t="shared" si="24"/>
        <v>1.4777490632186327E-2</v>
      </c>
      <c r="J168" s="49">
        <v>41214</v>
      </c>
      <c r="K168" s="45">
        <v>32.254899999999999</v>
      </c>
      <c r="L168" s="45">
        <f t="shared" si="23"/>
        <v>1.0370183419872361</v>
      </c>
      <c r="M168" s="45">
        <f t="shared" si="20"/>
        <v>1.0058876482889263</v>
      </c>
      <c r="N168" s="45">
        <f t="shared" si="25"/>
        <v>0.98575002000073775</v>
      </c>
    </row>
    <row r="169" spans="1:14" x14ac:dyDescent="0.2">
      <c r="A169" s="49">
        <v>41121</v>
      </c>
      <c r="B169" s="46">
        <v>1616.3</v>
      </c>
      <c r="C169" s="45">
        <f t="shared" si="21"/>
        <v>51.965212918160333</v>
      </c>
      <c r="D169" s="45">
        <f t="shared" si="22"/>
        <v>21.652172049233474</v>
      </c>
      <c r="E169" s="45">
        <f t="shared" si="19"/>
        <v>22.014234469605057</v>
      </c>
      <c r="F169" s="45">
        <f t="shared" si="24"/>
        <v>1.6721759809977144E-2</v>
      </c>
      <c r="J169" s="49">
        <v>41183</v>
      </c>
      <c r="K169" s="45">
        <v>33.941099999999999</v>
      </c>
      <c r="L169" s="45">
        <f t="shared" si="23"/>
        <v>1.091230890414262</v>
      </c>
      <c r="M169" s="45">
        <f t="shared" si="20"/>
        <v>0.98455183775759236</v>
      </c>
      <c r="N169" s="45">
        <f t="shared" si="25"/>
        <v>0.98467624042091673</v>
      </c>
    </row>
    <row r="170" spans="1:14" x14ac:dyDescent="0.2">
      <c r="A170" s="49">
        <v>41089</v>
      </c>
      <c r="B170" s="46">
        <v>1638.83</v>
      </c>
      <c r="C170" s="45">
        <f t="shared" si="21"/>
        <v>52.689568698056483</v>
      </c>
      <c r="D170" s="45">
        <f t="shared" si="22"/>
        <v>21.953986957523533</v>
      </c>
      <c r="E170" s="45">
        <f t="shared" si="19"/>
        <v>22.02929634762544</v>
      </c>
      <c r="F170" s="45">
        <f t="shared" si="24"/>
        <v>3.4303286345033963E-3</v>
      </c>
      <c r="J170" s="49">
        <v>41153</v>
      </c>
      <c r="K170" s="45">
        <v>31.324300000000001</v>
      </c>
      <c r="L170" s="45">
        <f t="shared" si="23"/>
        <v>1.0070988795473179</v>
      </c>
      <c r="M170" s="45">
        <f t="shared" si="20"/>
        <v>0.97891507731016092</v>
      </c>
      <c r="N170" s="45">
        <f t="shared" si="25"/>
        <v>0.99659385120550892</v>
      </c>
    </row>
    <row r="171" spans="1:14" x14ac:dyDescent="0.2">
      <c r="A171" s="49">
        <v>41060</v>
      </c>
      <c r="B171" s="46">
        <v>1602.46</v>
      </c>
      <c r="C171" s="45">
        <f t="shared" si="21"/>
        <v>51.520246917549471</v>
      </c>
      <c r="D171" s="45">
        <f t="shared" si="22"/>
        <v>21.466769548978949</v>
      </c>
      <c r="E171" s="45">
        <f t="shared" si="19"/>
        <v>22.169928047287062</v>
      </c>
      <c r="F171" s="45">
        <f t="shared" si="24"/>
        <v>3.2755673679906734E-2</v>
      </c>
      <c r="J171" s="49">
        <v>41122</v>
      </c>
      <c r="K171" s="45">
        <v>27.9572</v>
      </c>
      <c r="L171" s="45">
        <f t="shared" si="23"/>
        <v>0.89884418152297973</v>
      </c>
      <c r="M171" s="45">
        <f t="shared" si="20"/>
        <v>0.99893280125695616</v>
      </c>
      <c r="N171" s="45">
        <f t="shared" si="25"/>
        <v>0.96355800665649716</v>
      </c>
    </row>
    <row r="172" spans="1:14" x14ac:dyDescent="0.2">
      <c r="A172" s="49">
        <v>41029</v>
      </c>
      <c r="B172" s="46">
        <v>1637.44</v>
      </c>
      <c r="C172" s="45">
        <f t="shared" si="21"/>
        <v>52.644879193659875</v>
      </c>
      <c r="D172" s="45">
        <f t="shared" si="22"/>
        <v>21.935366330691615</v>
      </c>
      <c r="E172" s="45">
        <f t="shared" si="19"/>
        <v>22.228568476435921</v>
      </c>
      <c r="F172" s="45">
        <f t="shared" si="24"/>
        <v>1.3366640033454221E-2</v>
      </c>
      <c r="J172" s="49">
        <v>41091</v>
      </c>
      <c r="K172" s="45">
        <v>27.919699999999999</v>
      </c>
      <c r="L172" s="45">
        <f t="shared" si="23"/>
        <v>0.89763852942594879</v>
      </c>
      <c r="M172" s="45">
        <f t="shared" si="20"/>
        <v>1.024256369214708</v>
      </c>
      <c r="N172" s="45">
        <f t="shared" si="25"/>
        <v>0.98510910617662284</v>
      </c>
    </row>
    <row r="173" spans="1:14" x14ac:dyDescent="0.2">
      <c r="A173" s="49">
        <v>40998</v>
      </c>
      <c r="B173" s="46">
        <v>1663.11</v>
      </c>
      <c r="C173" s="45">
        <f t="shared" si="21"/>
        <v>53.470188242480745</v>
      </c>
      <c r="D173" s="45">
        <f t="shared" si="22"/>
        <v>22.279245101033641</v>
      </c>
      <c r="E173" s="45">
        <f t="shared" si="19"/>
        <v>22.215899320286489</v>
      </c>
      <c r="F173" s="45">
        <f t="shared" si="24"/>
        <v>2.8432642335899133E-3</v>
      </c>
      <c r="J173" s="49">
        <v>41061</v>
      </c>
      <c r="K173" s="45">
        <v>28.656600000000001</v>
      </c>
      <c r="L173" s="45">
        <f t="shared" si="23"/>
        <v>0.92133039690067031</v>
      </c>
      <c r="M173" s="45">
        <f t="shared" ref="M173:M204" si="26">($T$1*L174) + ((1-$T$1)*M174)</f>
        <v>1.0499878622932175</v>
      </c>
      <c r="N173" s="45">
        <f t="shared" si="25"/>
        <v>0.99691395807285355</v>
      </c>
    </row>
    <row r="174" spans="1:14" x14ac:dyDescent="0.2">
      <c r="A174" s="49">
        <v>40968</v>
      </c>
      <c r="B174" s="46">
        <v>1736.94</v>
      </c>
      <c r="C174" s="45">
        <f t="shared" si="21"/>
        <v>55.843876091115149</v>
      </c>
      <c r="D174" s="45">
        <f t="shared" si="22"/>
        <v>23.26828170463131</v>
      </c>
      <c r="E174" s="45">
        <f t="shared" si="19"/>
        <v>21.952803724200283</v>
      </c>
      <c r="F174" s="45">
        <f t="shared" si="24"/>
        <v>5.6535243862429016E-2</v>
      </c>
      <c r="J174" s="49">
        <v>41030</v>
      </c>
      <c r="K174" s="45">
        <v>30.593900000000001</v>
      </c>
      <c r="L174" s="45">
        <f t="shared" ref="L174:L205" si="27">K174/(31.1035)</f>
        <v>0.98361599176941505</v>
      </c>
      <c r="M174" s="45">
        <f t="shared" si="26"/>
        <v>1.0665808299241681</v>
      </c>
      <c r="N174" s="45">
        <f t="shared" si="25"/>
        <v>0.94252305337093145</v>
      </c>
    </row>
    <row r="175" spans="1:14" x14ac:dyDescent="0.2">
      <c r="A175" s="49">
        <v>40939</v>
      </c>
      <c r="B175" s="46">
        <v>1677.56</v>
      </c>
      <c r="C175" s="45">
        <f t="shared" si="21"/>
        <v>53.934766183869982</v>
      </c>
      <c r="D175" s="45">
        <f t="shared" si="22"/>
        <v>22.472819243279162</v>
      </c>
      <c r="E175" s="45">
        <f t="shared" si="19"/>
        <v>21.822799844430563</v>
      </c>
      <c r="F175" s="45">
        <f t="shared" si="24"/>
        <v>2.8924693061952923E-2</v>
      </c>
      <c r="J175" s="49">
        <v>41000</v>
      </c>
      <c r="K175" s="45">
        <v>32.640300000000003</v>
      </c>
      <c r="L175" s="45">
        <f t="shared" si="27"/>
        <v>1.0494092304724549</v>
      </c>
      <c r="M175" s="45">
        <f t="shared" si="26"/>
        <v>1.0708737297870963</v>
      </c>
      <c r="N175" s="45">
        <f t="shared" si="25"/>
        <v>0.97243716538596603</v>
      </c>
    </row>
    <row r="176" spans="1:14" x14ac:dyDescent="0.2">
      <c r="A176" s="49">
        <v>40907</v>
      </c>
      <c r="B176" s="46">
        <v>1691.9</v>
      </c>
      <c r="C176" s="45">
        <f t="shared" si="21"/>
        <v>54.395807545774595</v>
      </c>
      <c r="D176" s="45">
        <f t="shared" si="22"/>
        <v>22.664919810739413</v>
      </c>
      <c r="E176" s="45">
        <f t="shared" si="19"/>
        <v>21.612269852853348</v>
      </c>
      <c r="F176" s="45">
        <f t="shared" si="24"/>
        <v>4.6444018627733369E-2</v>
      </c>
      <c r="J176" s="49">
        <v>40969</v>
      </c>
      <c r="K176" s="45">
        <v>34.206499999999998</v>
      </c>
      <c r="L176" s="45">
        <f t="shared" si="27"/>
        <v>1.099763692188982</v>
      </c>
      <c r="M176" s="45">
        <f t="shared" si="26"/>
        <v>1.0636512391866246</v>
      </c>
      <c r="N176" s="45">
        <f t="shared" si="25"/>
        <v>0.95776909261725984</v>
      </c>
    </row>
    <row r="177" spans="1:14" x14ac:dyDescent="0.2">
      <c r="A177" s="49">
        <v>40877</v>
      </c>
      <c r="B177" s="46">
        <v>1782.35</v>
      </c>
      <c r="C177" s="45">
        <f t="shared" si="21"/>
        <v>57.303840403813069</v>
      </c>
      <c r="D177" s="45">
        <f t="shared" si="22"/>
        <v>23.876600168255443</v>
      </c>
      <c r="E177" s="45">
        <f t="shared" si="19"/>
        <v>21.046187274002826</v>
      </c>
      <c r="F177" s="45">
        <f t="shared" si="24"/>
        <v>0.11854338030988704</v>
      </c>
      <c r="J177" s="49">
        <v>40940</v>
      </c>
      <c r="K177" s="45">
        <v>33.209499999999998</v>
      </c>
      <c r="L177" s="45">
        <f t="shared" si="27"/>
        <v>1.0677094217692542</v>
      </c>
      <c r="M177" s="45">
        <f t="shared" si="26"/>
        <v>1.0626366935409672</v>
      </c>
      <c r="N177" s="45">
        <f t="shared" si="25"/>
        <v>0.8889741179641798</v>
      </c>
    </row>
    <row r="178" spans="1:14" x14ac:dyDescent="0.2">
      <c r="A178" s="49">
        <v>40847</v>
      </c>
      <c r="B178" s="46">
        <v>1699.01</v>
      </c>
      <c r="C178" s="45">
        <f t="shared" si="21"/>
        <v>54.624399183371644</v>
      </c>
      <c r="D178" s="45">
        <f t="shared" si="22"/>
        <v>22.76016632640485</v>
      </c>
      <c r="E178" s="45">
        <f t="shared" si="19"/>
        <v>20.617692510902319</v>
      </c>
      <c r="F178" s="45">
        <f t="shared" si="24"/>
        <v>9.4132608030064041E-2</v>
      </c>
      <c r="J178" s="49">
        <v>40909</v>
      </c>
      <c r="K178" s="45">
        <v>28.2836</v>
      </c>
      <c r="L178" s="45">
        <f t="shared" si="27"/>
        <v>0.90933817737553646</v>
      </c>
      <c r="M178" s="45">
        <f t="shared" si="26"/>
        <v>1.1009613225823247</v>
      </c>
      <c r="N178" s="45">
        <f t="shared" si="25"/>
        <v>0.8964822874788535</v>
      </c>
    </row>
    <row r="179" spans="1:14" x14ac:dyDescent="0.2">
      <c r="A179" s="49">
        <v>40816</v>
      </c>
      <c r="B179" s="46">
        <v>1773.9</v>
      </c>
      <c r="C179" s="45">
        <f t="shared" si="21"/>
        <v>57.032166797948783</v>
      </c>
      <c r="D179" s="45">
        <f t="shared" si="22"/>
        <v>23.763402832478661</v>
      </c>
      <c r="E179" s="45">
        <f t="shared" si="19"/>
        <v>19.831264930508233</v>
      </c>
      <c r="F179" s="45">
        <f t="shared" si="24"/>
        <v>0.16547032130415992</v>
      </c>
      <c r="J179" s="49">
        <v>40878</v>
      </c>
      <c r="K179" s="45">
        <v>33.399900000000002</v>
      </c>
      <c r="L179" s="45">
        <f t="shared" si="27"/>
        <v>1.0738309193499125</v>
      </c>
      <c r="M179" s="45">
        <f t="shared" si="26"/>
        <v>1.1077439233904276</v>
      </c>
      <c r="N179" s="45">
        <f t="shared" si="25"/>
        <v>0.84590654047814695</v>
      </c>
    </row>
    <row r="180" spans="1:14" x14ac:dyDescent="0.2">
      <c r="A180" s="49">
        <v>40786</v>
      </c>
      <c r="B180" s="46">
        <v>1724.38</v>
      </c>
      <c r="C180" s="45">
        <f t="shared" si="21"/>
        <v>55.440063015416271</v>
      </c>
      <c r="D180" s="45">
        <f t="shared" si="22"/>
        <v>23.100026256423444</v>
      </c>
      <c r="E180" s="45">
        <f t="shared" si="19"/>
        <v>19.014074599029431</v>
      </c>
      <c r="F180" s="45">
        <f t="shared" si="24"/>
        <v>0.17688082307949016</v>
      </c>
      <c r="J180" s="49">
        <v>40848</v>
      </c>
      <c r="K180" s="45">
        <v>34.212899999999998</v>
      </c>
      <c r="L180" s="45">
        <f t="shared" si="27"/>
        <v>1.0999694568135419</v>
      </c>
      <c r="M180" s="45">
        <f t="shared" si="26"/>
        <v>1.1096875400346491</v>
      </c>
      <c r="N180" s="45">
        <f t="shared" si="25"/>
        <v>0.83919478674263448</v>
      </c>
    </row>
    <row r="181" spans="1:14" x14ac:dyDescent="0.2">
      <c r="A181" s="49">
        <v>40753</v>
      </c>
      <c r="B181" s="46">
        <v>1502.93</v>
      </c>
      <c r="C181" s="45">
        <f t="shared" si="21"/>
        <v>48.320285498416581</v>
      </c>
      <c r="D181" s="45">
        <f t="shared" si="22"/>
        <v>20.133452291006911</v>
      </c>
      <c r="E181" s="45">
        <f t="shared" si="19"/>
        <v>18.734230176035059</v>
      </c>
      <c r="F181" s="45">
        <f t="shared" si="24"/>
        <v>6.9497376542663206E-2</v>
      </c>
      <c r="J181" s="49">
        <v>40817</v>
      </c>
      <c r="K181" s="45">
        <v>31.3352</v>
      </c>
      <c r="L181" s="45">
        <f t="shared" si="27"/>
        <v>1.0074493224235215</v>
      </c>
      <c r="M181" s="45">
        <f t="shared" si="26"/>
        <v>1.1352470944374309</v>
      </c>
      <c r="N181" s="45">
        <f t="shared" si="25"/>
        <v>0.93101650376271017</v>
      </c>
    </row>
    <row r="182" spans="1:14" x14ac:dyDescent="0.2">
      <c r="A182" s="49">
        <v>40724</v>
      </c>
      <c r="B182" s="46">
        <v>1494.1</v>
      </c>
      <c r="C182" s="45">
        <f t="shared" si="21"/>
        <v>48.036394617969037</v>
      </c>
      <c r="D182" s="45">
        <f t="shared" si="22"/>
        <v>20.015164424153763</v>
      </c>
      <c r="E182" s="45">
        <f t="shared" si="19"/>
        <v>18.413996614005381</v>
      </c>
      <c r="F182" s="45">
        <f t="shared" si="24"/>
        <v>7.999773452853258E-2</v>
      </c>
      <c r="J182" s="49">
        <v>40787</v>
      </c>
      <c r="K182" s="45">
        <v>40.566000000000003</v>
      </c>
      <c r="L182" s="45">
        <f t="shared" si="27"/>
        <v>1.3042262124841257</v>
      </c>
      <c r="M182" s="45">
        <f t="shared" si="26"/>
        <v>1.0930023149257571</v>
      </c>
      <c r="N182" s="45">
        <f t="shared" si="25"/>
        <v>0.93866268461499258</v>
      </c>
    </row>
    <row r="183" spans="1:14" x14ac:dyDescent="0.2">
      <c r="A183" s="49">
        <v>40694</v>
      </c>
      <c r="B183" s="46">
        <v>1463.72</v>
      </c>
      <c r="C183" s="45">
        <f t="shared" si="21"/>
        <v>47.059655665761092</v>
      </c>
      <c r="D183" s="45">
        <f t="shared" si="22"/>
        <v>19.608189860733788</v>
      </c>
      <c r="E183" s="45">
        <f t="shared" si="19"/>
        <v>18.115448302323276</v>
      </c>
      <c r="F183" s="45">
        <f t="shared" si="24"/>
        <v>7.6128473306951605E-2</v>
      </c>
      <c r="J183" s="49">
        <v>40756</v>
      </c>
      <c r="K183" s="45">
        <v>38.052</v>
      </c>
      <c r="L183" s="45">
        <f t="shared" si="27"/>
        <v>1.2233992958991753</v>
      </c>
      <c r="M183" s="45">
        <f t="shared" si="26"/>
        <v>1.0604030696824025</v>
      </c>
      <c r="N183" s="45">
        <f t="shared" si="25"/>
        <v>0.93777299565061578</v>
      </c>
    </row>
    <row r="184" spans="1:14" x14ac:dyDescent="0.2">
      <c r="A184" s="49">
        <v>40662</v>
      </c>
      <c r="B184" s="46">
        <v>1413.06</v>
      </c>
      <c r="C184" s="45">
        <f t="shared" si="21"/>
        <v>45.430900059478837</v>
      </c>
      <c r="D184" s="45">
        <f t="shared" si="22"/>
        <v>18.929541691449515</v>
      </c>
      <c r="E184" s="45">
        <f t="shared" si="19"/>
        <v>17.911924955041716</v>
      </c>
      <c r="F184" s="45">
        <f t="shared" si="24"/>
        <v>5.3758128590480195E-2</v>
      </c>
      <c r="J184" s="49">
        <v>40725</v>
      </c>
      <c r="K184" s="45">
        <v>33.395699999999998</v>
      </c>
      <c r="L184" s="45">
        <f t="shared" si="27"/>
        <v>1.0736958863150448</v>
      </c>
      <c r="M184" s="45">
        <f t="shared" si="26"/>
        <v>1.0570798655242419</v>
      </c>
      <c r="N184" s="45">
        <f t="shared" si="25"/>
        <v>0.94993169921235365</v>
      </c>
    </row>
    <row r="185" spans="1:14" x14ac:dyDescent="0.2">
      <c r="A185" s="49">
        <v>40633</v>
      </c>
      <c r="B185" s="46">
        <v>1391.01</v>
      </c>
      <c r="C185" s="45">
        <f t="shared" si="21"/>
        <v>44.721976626424677</v>
      </c>
      <c r="D185" s="45">
        <f t="shared" si="22"/>
        <v>18.634156927676948</v>
      </c>
      <c r="E185" s="45">
        <f t="shared" si="19"/>
        <v>17.731366961882905</v>
      </c>
      <c r="F185" s="45">
        <f t="shared" si="24"/>
        <v>4.8448125090818903E-2</v>
      </c>
      <c r="J185" s="49">
        <v>40695</v>
      </c>
      <c r="K185" s="45">
        <v>37.240699999999997</v>
      </c>
      <c r="L185" s="45">
        <f t="shared" si="27"/>
        <v>1.1973154146639444</v>
      </c>
      <c r="M185" s="45">
        <f t="shared" si="26"/>
        <v>1.0220209782393161</v>
      </c>
      <c r="N185" s="45">
        <f t="shared" si="25"/>
        <v>0.95953603829245193</v>
      </c>
    </row>
    <row r="186" spans="1:14" x14ac:dyDescent="0.2">
      <c r="A186" s="49">
        <v>40602</v>
      </c>
      <c r="B186" s="46">
        <v>1355.62</v>
      </c>
      <c r="C186" s="45">
        <f t="shared" si="21"/>
        <v>43.5841625540534</v>
      </c>
      <c r="D186" s="45">
        <f t="shared" si="22"/>
        <v>18.160067730855584</v>
      </c>
      <c r="E186" s="45">
        <f t="shared" si="19"/>
        <v>17.624191769639733</v>
      </c>
      <c r="F186" s="45">
        <f t="shared" si="24"/>
        <v>2.9508478115714814E-2</v>
      </c>
      <c r="J186" s="49">
        <v>40664</v>
      </c>
      <c r="K186" s="45">
        <v>45.194899999999997</v>
      </c>
      <c r="L186" s="45">
        <f t="shared" si="27"/>
        <v>1.4530486922693586</v>
      </c>
      <c r="M186" s="45">
        <f t="shared" si="26"/>
        <v>0.91426404973180542</v>
      </c>
      <c r="N186" s="45">
        <f t="shared" si="25"/>
        <v>0.97969202389933074</v>
      </c>
    </row>
    <row r="187" spans="1:14" x14ac:dyDescent="0.2">
      <c r="A187" s="49">
        <v>40574</v>
      </c>
      <c r="B187" s="46">
        <v>1348.61</v>
      </c>
      <c r="C187" s="45">
        <f t="shared" si="21"/>
        <v>43.358785988715091</v>
      </c>
      <c r="D187" s="45">
        <f t="shared" si="22"/>
        <v>18.06616082863129</v>
      </c>
      <c r="E187" s="45">
        <f t="shared" si="19"/>
        <v>17.513699504891843</v>
      </c>
      <c r="F187" s="45">
        <f t="shared" si="24"/>
        <v>3.0579896248012196E-2</v>
      </c>
      <c r="J187" s="49">
        <v>40634</v>
      </c>
      <c r="K187" s="45">
        <v>36.464500000000001</v>
      </c>
      <c r="L187" s="45">
        <f t="shared" si="27"/>
        <v>1.1723600237915348</v>
      </c>
      <c r="M187" s="45">
        <f t="shared" si="26"/>
        <v>0.84974005621687299</v>
      </c>
      <c r="N187" s="45">
        <f t="shared" si="25"/>
        <v>0.97391595104964979</v>
      </c>
    </row>
    <row r="188" spans="1:14" x14ac:dyDescent="0.2">
      <c r="A188" s="49">
        <v>40543</v>
      </c>
      <c r="B188" s="46">
        <v>1402.2</v>
      </c>
      <c r="C188" s="45">
        <f t="shared" si="21"/>
        <v>45.081743212178694</v>
      </c>
      <c r="D188" s="45">
        <f t="shared" si="22"/>
        <v>18.784059671741122</v>
      </c>
      <c r="E188" s="45">
        <f t="shared" si="19"/>
        <v>17.196109463179521</v>
      </c>
      <c r="F188" s="45">
        <f t="shared" si="24"/>
        <v>8.4537114783047942E-2</v>
      </c>
      <c r="J188" s="49">
        <v>40603</v>
      </c>
      <c r="K188" s="45">
        <v>32.880000000000003</v>
      </c>
      <c r="L188" s="45">
        <f t="shared" si="27"/>
        <v>1.0571157586766764</v>
      </c>
      <c r="M188" s="45">
        <f t="shared" si="26"/>
        <v>0.79789613060192199</v>
      </c>
      <c r="N188" s="45">
        <f t="shared" si="25"/>
        <v>0.92003040907376732</v>
      </c>
    </row>
    <row r="189" spans="1:14" x14ac:dyDescent="0.2">
      <c r="A189" s="49">
        <v>40512</v>
      </c>
      <c r="B189" s="46">
        <v>1387.36</v>
      </c>
      <c r="C189" s="45">
        <f t="shared" si="21"/>
        <v>44.604626488980337</v>
      </c>
      <c r="D189" s="45">
        <f t="shared" si="22"/>
        <v>18.585261037075142</v>
      </c>
      <c r="E189" s="45">
        <f t="shared" si="19"/>
        <v>16.848821569705613</v>
      </c>
      <c r="F189" s="45">
        <f t="shared" si="24"/>
        <v>9.3430996955359474E-2</v>
      </c>
      <c r="J189" s="49">
        <v>40575</v>
      </c>
      <c r="K189" s="45">
        <v>28.09</v>
      </c>
      <c r="L189" s="45">
        <f t="shared" si="27"/>
        <v>0.90311379748259846</v>
      </c>
      <c r="M189" s="45">
        <f t="shared" si="26"/>
        <v>0.77159171388175274</v>
      </c>
      <c r="N189" s="45">
        <f t="shared" si="25"/>
        <v>0.89654570972584469</v>
      </c>
    </row>
    <row r="190" spans="1:14" x14ac:dyDescent="0.2">
      <c r="A190" s="49">
        <v>40480</v>
      </c>
      <c r="B190" s="46">
        <v>1366.42</v>
      </c>
      <c r="C190" s="45">
        <f t="shared" si="21"/>
        <v>43.931390357998296</v>
      </c>
      <c r="D190" s="45">
        <f t="shared" si="22"/>
        <v>18.304745982499291</v>
      </c>
      <c r="E190" s="45">
        <f t="shared" si="19"/>
        <v>16.48484046650719</v>
      </c>
      <c r="F190" s="45">
        <f t="shared" si="24"/>
        <v>9.9422604265148887E-2</v>
      </c>
      <c r="J190" s="49">
        <v>40544</v>
      </c>
      <c r="K190" s="45">
        <v>30.73</v>
      </c>
      <c r="L190" s="45">
        <f t="shared" si="27"/>
        <v>0.98799170511357248</v>
      </c>
      <c r="M190" s="45">
        <f t="shared" si="26"/>
        <v>0.71749171607379769</v>
      </c>
      <c r="N190" s="45">
        <f t="shared" si="25"/>
        <v>0.89936898887858574</v>
      </c>
    </row>
    <row r="191" spans="1:14" x14ac:dyDescent="0.2">
      <c r="A191" s="49">
        <v>40451</v>
      </c>
      <c r="B191" s="46">
        <v>1313.43</v>
      </c>
      <c r="C191" s="45">
        <f t="shared" si="21"/>
        <v>42.227723568087193</v>
      </c>
      <c r="D191" s="45">
        <f t="shared" si="22"/>
        <v>17.594884820036331</v>
      </c>
      <c r="E191" s="45">
        <f t="shared" si="19"/>
        <v>16.207329378124903</v>
      </c>
      <c r="F191" s="45">
        <f t="shared" si="24"/>
        <v>7.8861297252218229E-2</v>
      </c>
      <c r="J191" s="49">
        <v>40513</v>
      </c>
      <c r="K191" s="45">
        <v>28.84</v>
      </c>
      <c r="L191" s="45">
        <f t="shared" si="27"/>
        <v>0.92722683942321604</v>
      </c>
      <c r="M191" s="45">
        <f t="shared" si="26"/>
        <v>0.66505793523644297</v>
      </c>
      <c r="N191" s="45">
        <f t="shared" si="25"/>
        <v>0.91494929406780967</v>
      </c>
    </row>
    <row r="192" spans="1:14" x14ac:dyDescent="0.2">
      <c r="A192" s="49">
        <v>40421</v>
      </c>
      <c r="B192" s="46">
        <v>1265.07</v>
      </c>
      <c r="C192" s="45">
        <f t="shared" si="21"/>
        <v>40.672914623756164</v>
      </c>
      <c r="D192" s="45">
        <f t="shared" si="22"/>
        <v>16.947047759898403</v>
      </c>
      <c r="E192" s="45">
        <f t="shared" si="19"/>
        <v>16.022399782681529</v>
      </c>
      <c r="F192" s="45">
        <f t="shared" si="24"/>
        <v>5.4561006159719344E-2</v>
      </c>
      <c r="J192" s="49">
        <v>40483</v>
      </c>
      <c r="K192" s="45">
        <v>25.14</v>
      </c>
      <c r="L192" s="45">
        <f t="shared" si="27"/>
        <v>0.80826916584950248</v>
      </c>
      <c r="M192" s="45">
        <f t="shared" si="26"/>
        <v>0.62925512758317803</v>
      </c>
      <c r="N192" s="45">
        <f t="shared" si="25"/>
        <v>0.93249648945549601</v>
      </c>
    </row>
    <row r="193" spans="1:14" x14ac:dyDescent="0.2">
      <c r="A193" s="49">
        <v>40389</v>
      </c>
      <c r="B193" s="46">
        <v>1245.22</v>
      </c>
      <c r="C193" s="45">
        <f t="shared" si="21"/>
        <v>40.034722780394489</v>
      </c>
      <c r="D193" s="45">
        <f t="shared" si="22"/>
        <v>16.681134491831038</v>
      </c>
      <c r="E193" s="45">
        <f t="shared" si="19"/>
        <v>15.85771610539415</v>
      </c>
      <c r="F193" s="45">
        <f t="shared" si="24"/>
        <v>4.9362253319168811E-2</v>
      </c>
      <c r="J193" s="49">
        <v>40452</v>
      </c>
      <c r="K193" s="45">
        <v>22.37</v>
      </c>
      <c r="L193" s="45">
        <f t="shared" si="27"/>
        <v>0.71921166428215477</v>
      </c>
      <c r="M193" s="45">
        <f t="shared" si="26"/>
        <v>0.60676599340843385</v>
      </c>
      <c r="N193" s="45">
        <f t="shared" si="25"/>
        <v>0.93136616691494123</v>
      </c>
    </row>
    <row r="194" spans="1:14" x14ac:dyDescent="0.2">
      <c r="A194" s="49">
        <v>40359</v>
      </c>
      <c r="B194" s="46">
        <v>1280.0999999999999</v>
      </c>
      <c r="C194" s="45">
        <f t="shared" si="21"/>
        <v>41.156139984246146</v>
      </c>
      <c r="D194" s="45">
        <f t="shared" si="22"/>
        <v>17.148391660102561</v>
      </c>
      <c r="E194" s="45">
        <f t="shared" ref="E194:E257" si="28">($T$1*D195) + ((1-$T$1)*E195)</f>
        <v>15.535047216717047</v>
      </c>
      <c r="F194" s="45">
        <f t="shared" si="24"/>
        <v>9.4081385319599448E-2</v>
      </c>
      <c r="J194" s="49">
        <v>40422</v>
      </c>
      <c r="K194" s="45">
        <v>20.64</v>
      </c>
      <c r="L194" s="45">
        <f t="shared" si="27"/>
        <v>0.66359091420579674</v>
      </c>
      <c r="M194" s="45">
        <f t="shared" si="26"/>
        <v>0.59255976320909309</v>
      </c>
      <c r="N194" s="45">
        <f t="shared" si="25"/>
        <v>0.85822381936588366</v>
      </c>
    </row>
    <row r="195" spans="1:14" x14ac:dyDescent="0.2">
      <c r="A195" s="49">
        <v>40329</v>
      </c>
      <c r="B195" s="46">
        <v>1256.01</v>
      </c>
      <c r="C195" s="45">
        <f t="shared" si="21"/>
        <v>40.381629077113509</v>
      </c>
      <c r="D195" s="45">
        <f t="shared" si="22"/>
        <v>16.82567878213063</v>
      </c>
      <c r="E195" s="45">
        <f t="shared" si="28"/>
        <v>15.212389325363651</v>
      </c>
      <c r="F195" s="45">
        <f t="shared" si="24"/>
        <v>9.5882577913013592E-2</v>
      </c>
      <c r="J195" s="49">
        <v>40391</v>
      </c>
      <c r="K195" s="45">
        <v>18.54</v>
      </c>
      <c r="L195" s="45">
        <f t="shared" si="27"/>
        <v>0.59607439677206742</v>
      </c>
      <c r="M195" s="45">
        <f t="shared" si="26"/>
        <v>0.59168110481834957</v>
      </c>
      <c r="N195" s="45">
        <f t="shared" si="25"/>
        <v>0.83914327065170347</v>
      </c>
    </row>
    <row r="196" spans="1:14" x14ac:dyDescent="0.2">
      <c r="A196" s="49">
        <v>40298</v>
      </c>
      <c r="B196" s="46">
        <v>1154.8</v>
      </c>
      <c r="C196" s="45">
        <f t="shared" si="21"/>
        <v>37.127654444033631</v>
      </c>
      <c r="D196" s="45">
        <f t="shared" si="22"/>
        <v>15.469856018347345</v>
      </c>
      <c r="E196" s="45">
        <f t="shared" si="28"/>
        <v>15.148022652117726</v>
      </c>
      <c r="F196" s="45">
        <f t="shared" si="24"/>
        <v>2.080390184937226E-2</v>
      </c>
      <c r="J196" s="49">
        <v>40360</v>
      </c>
      <c r="K196" s="45">
        <v>19.77</v>
      </c>
      <c r="L196" s="45">
        <f t="shared" si="27"/>
        <v>0.63561978555468035</v>
      </c>
      <c r="M196" s="45">
        <f t="shared" si="26"/>
        <v>0.5806964346342669</v>
      </c>
      <c r="N196" s="45">
        <f t="shared" si="25"/>
        <v>0.96726989574244049</v>
      </c>
    </row>
    <row r="197" spans="1:14" x14ac:dyDescent="0.2">
      <c r="A197" s="49">
        <v>40268</v>
      </c>
      <c r="B197" s="46">
        <v>1138.99</v>
      </c>
      <c r="C197" s="45">
        <f t="shared" si="21"/>
        <v>36.619351519925409</v>
      </c>
      <c r="D197" s="45">
        <f t="shared" si="22"/>
        <v>15.258063133302253</v>
      </c>
      <c r="E197" s="45">
        <f t="shared" si="28"/>
        <v>15.120512531821594</v>
      </c>
      <c r="F197" s="45">
        <f t="shared" si="24"/>
        <v>9.0149451001051532E-3</v>
      </c>
      <c r="J197" s="49">
        <v>40330</v>
      </c>
      <c r="K197" s="45">
        <v>19.350000000000001</v>
      </c>
      <c r="L197" s="45">
        <f t="shared" si="27"/>
        <v>0.62211648206793446</v>
      </c>
      <c r="M197" s="45">
        <f t="shared" si="26"/>
        <v>0.57034142277584998</v>
      </c>
      <c r="N197" s="45">
        <f t="shared" si="25"/>
        <v>0.98550923282061398</v>
      </c>
    </row>
    <row r="198" spans="1:14" x14ac:dyDescent="0.2">
      <c r="A198" s="49">
        <v>40235</v>
      </c>
      <c r="B198" s="46">
        <v>1157.26</v>
      </c>
      <c r="C198" s="45">
        <f t="shared" si="21"/>
        <v>37.206745221598858</v>
      </c>
      <c r="D198" s="45">
        <f t="shared" si="22"/>
        <v>15.502810508999525</v>
      </c>
      <c r="E198" s="45">
        <f t="shared" si="28"/>
        <v>15.024938037527111</v>
      </c>
      <c r="F198" s="45">
        <f t="shared" si="24"/>
        <v>3.082489276347699E-2</v>
      </c>
      <c r="J198" s="49">
        <v>40299</v>
      </c>
      <c r="K198" s="45">
        <v>18.93</v>
      </c>
      <c r="L198" s="45">
        <f t="shared" si="27"/>
        <v>0.60861317858118857</v>
      </c>
      <c r="M198" s="45">
        <f t="shared" si="26"/>
        <v>0.56077348382451531</v>
      </c>
      <c r="N198" s="45">
        <f t="shared" si="25"/>
        <v>0.94935224236297899</v>
      </c>
    </row>
    <row r="199" spans="1:14" x14ac:dyDescent="0.2">
      <c r="A199" s="49">
        <v>40207</v>
      </c>
      <c r="B199" s="46">
        <v>1166.03</v>
      </c>
      <c r="C199" s="45">
        <f t="shared" si="21"/>
        <v>37.488707058691141</v>
      </c>
      <c r="D199" s="45">
        <f t="shared" si="22"/>
        <v>15.620294607787974</v>
      </c>
      <c r="E199" s="45">
        <f t="shared" si="28"/>
        <v>14.876098894961894</v>
      </c>
      <c r="F199" s="45">
        <f t="shared" si="24"/>
        <v>4.7642873038709455E-2</v>
      </c>
      <c r="J199" s="49">
        <v>40269</v>
      </c>
      <c r="K199" s="45">
        <v>17.79</v>
      </c>
      <c r="L199" s="45">
        <f t="shared" si="27"/>
        <v>0.57196135483144983</v>
      </c>
      <c r="M199" s="45">
        <f t="shared" si="26"/>
        <v>0.55797651607278165</v>
      </c>
      <c r="N199" s="45">
        <f t="shared" si="25"/>
        <v>0.91670263622487369</v>
      </c>
    </row>
    <row r="200" spans="1:14" x14ac:dyDescent="0.2">
      <c r="A200" s="49">
        <v>40178</v>
      </c>
      <c r="B200" s="46">
        <v>1197.78</v>
      </c>
      <c r="C200" s="45">
        <f t="shared" si="21"/>
        <v>38.509492500843955</v>
      </c>
      <c r="D200" s="45">
        <f t="shared" si="22"/>
        <v>16.04562187535165</v>
      </c>
      <c r="E200" s="45">
        <f t="shared" si="28"/>
        <v>14.583718149864454</v>
      </c>
      <c r="F200" s="45">
        <f t="shared" si="24"/>
        <v>9.1109197065953954E-2</v>
      </c>
      <c r="J200" s="49">
        <v>40238</v>
      </c>
      <c r="K200" s="45">
        <v>17.36</v>
      </c>
      <c r="L200" s="45">
        <f t="shared" si="27"/>
        <v>0.55813654411882907</v>
      </c>
      <c r="M200" s="45">
        <f t="shared" si="26"/>
        <v>0.55793650906126979</v>
      </c>
      <c r="N200" s="45">
        <f t="shared" si="25"/>
        <v>0.83676181388589299</v>
      </c>
    </row>
    <row r="201" spans="1:14" x14ac:dyDescent="0.2">
      <c r="A201" s="49">
        <v>40147</v>
      </c>
      <c r="B201" s="46">
        <v>1193.68</v>
      </c>
      <c r="C201" s="45">
        <f t="shared" si="21"/>
        <v>38.377674538235247</v>
      </c>
      <c r="D201" s="45">
        <f t="shared" si="22"/>
        <v>15.990697724264686</v>
      </c>
      <c r="E201" s="45">
        <f t="shared" si="28"/>
        <v>14.231973256264395</v>
      </c>
      <c r="F201" s="45">
        <f t="shared" si="24"/>
        <v>0.10998422322320302</v>
      </c>
      <c r="J201" s="49">
        <v>40210</v>
      </c>
      <c r="K201" s="45">
        <v>17.32</v>
      </c>
      <c r="L201" s="45">
        <f t="shared" si="27"/>
        <v>0.55685051521532947</v>
      </c>
      <c r="M201" s="45">
        <f t="shared" si="26"/>
        <v>0.55820800752275479</v>
      </c>
      <c r="N201" s="45">
        <f t="shared" si="25"/>
        <v>0.80248878250445177</v>
      </c>
    </row>
    <row r="202" spans="1:14" x14ac:dyDescent="0.2">
      <c r="A202" s="49">
        <v>40116</v>
      </c>
      <c r="B202" s="46">
        <v>1099.6099999999999</v>
      </c>
      <c r="C202" s="45">
        <f t="shared" si="21"/>
        <v>35.353256064430042</v>
      </c>
      <c r="D202" s="45">
        <f t="shared" si="22"/>
        <v>14.730523360179184</v>
      </c>
      <c r="E202" s="45">
        <f t="shared" si="28"/>
        <v>14.107335730285696</v>
      </c>
      <c r="F202" s="45">
        <f t="shared" si="24"/>
        <v>4.2305871601150472E-2</v>
      </c>
      <c r="J202" s="49">
        <v>40179</v>
      </c>
      <c r="K202" s="45">
        <v>17.78</v>
      </c>
      <c r="L202" s="45">
        <f t="shared" si="27"/>
        <v>0.57163984760557496</v>
      </c>
      <c r="M202" s="45">
        <f t="shared" si="26"/>
        <v>0.55485004750204969</v>
      </c>
      <c r="N202" s="45">
        <f t="shared" si="25"/>
        <v>0.9259920878882798</v>
      </c>
    </row>
    <row r="203" spans="1:14" x14ac:dyDescent="0.2">
      <c r="A203" s="49">
        <v>40086</v>
      </c>
      <c r="B203" s="46">
        <v>1077.75</v>
      </c>
      <c r="C203" s="45">
        <f t="shared" si="21"/>
        <v>34.650441268667514</v>
      </c>
      <c r="D203" s="45">
        <f t="shared" si="22"/>
        <v>14.437683861944796</v>
      </c>
      <c r="E203" s="45">
        <f t="shared" si="28"/>
        <v>14.024748697370921</v>
      </c>
      <c r="F203" s="45">
        <f t="shared" si="24"/>
        <v>2.8601205603504046E-2</v>
      </c>
      <c r="J203" s="49">
        <v>40148</v>
      </c>
      <c r="K203" s="45">
        <v>19.5</v>
      </c>
      <c r="L203" s="45">
        <f t="shared" si="27"/>
        <v>0.626939090456058</v>
      </c>
      <c r="M203" s="45">
        <f t="shared" si="26"/>
        <v>0.53682778676354759</v>
      </c>
      <c r="N203" s="45">
        <f t="shared" si="25"/>
        <v>0.95437961033391849</v>
      </c>
    </row>
    <row r="204" spans="1:14" x14ac:dyDescent="0.2">
      <c r="A204" s="49">
        <v>40056</v>
      </c>
      <c r="B204" s="46">
        <v>1032.1099999999999</v>
      </c>
      <c r="C204" s="45">
        <f t="shared" si="21"/>
        <v>33.183082289774461</v>
      </c>
      <c r="D204" s="45">
        <f t="shared" si="22"/>
        <v>13.826284287406025</v>
      </c>
      <c r="E204" s="45">
        <f t="shared" si="28"/>
        <v>14.074364799862144</v>
      </c>
      <c r="F204" s="45">
        <f t="shared" si="24"/>
        <v>1.7942674061901639E-2</v>
      </c>
      <c r="J204" s="49">
        <v>40118</v>
      </c>
      <c r="K204" s="45">
        <v>17.68</v>
      </c>
      <c r="L204" s="45">
        <f t="shared" si="27"/>
        <v>0.56842477534682589</v>
      </c>
      <c r="M204" s="45">
        <f t="shared" si="26"/>
        <v>0.52892853961772801</v>
      </c>
      <c r="N204" s="45">
        <f t="shared" si="25"/>
        <v>0.96843439125088471</v>
      </c>
    </row>
    <row r="205" spans="1:14" x14ac:dyDescent="0.2">
      <c r="A205" s="49">
        <v>40025</v>
      </c>
      <c r="B205" s="46">
        <v>1049.53</v>
      </c>
      <c r="C205" s="45">
        <f t="shared" si="21"/>
        <v>33.743147877248539</v>
      </c>
      <c r="D205" s="45">
        <f t="shared" si="22"/>
        <v>14.059644948853558</v>
      </c>
      <c r="E205" s="45">
        <f t="shared" si="28"/>
        <v>14.078044762614288</v>
      </c>
      <c r="F205" s="45">
        <f t="shared" si="24"/>
        <v>1.3086969000757559E-3</v>
      </c>
      <c r="J205" s="49">
        <v>40087</v>
      </c>
      <c r="K205" s="45">
        <v>17.77</v>
      </c>
      <c r="L205" s="45">
        <f t="shared" si="27"/>
        <v>0.57131834037969997</v>
      </c>
      <c r="M205" s="45">
        <f t="shared" ref="M205:M211" si="29">($T$1*L206) + ((1-$T$1)*M206)</f>
        <v>0.51833108942723505</v>
      </c>
      <c r="N205" s="45">
        <f t="shared" si="25"/>
        <v>0.99770933854634181</v>
      </c>
    </row>
    <row r="206" spans="1:14" x14ac:dyDescent="0.2">
      <c r="A206" s="49">
        <v>39994</v>
      </c>
      <c r="B206" s="46">
        <v>1065.2</v>
      </c>
      <c r="C206" s="45">
        <f t="shared" ref="C206:C269" si="30">B206/(31.1035)</f>
        <v>34.246949700194513</v>
      </c>
      <c r="D206" s="45">
        <f t="shared" ref="D206:D269" si="31">(C206/24)*10</f>
        <v>14.269562375081046</v>
      </c>
      <c r="E206" s="45">
        <f t="shared" si="28"/>
        <v>14.030165359497598</v>
      </c>
      <c r="F206" s="45">
        <f t="shared" si="24"/>
        <v>1.6776759461208636E-2</v>
      </c>
      <c r="J206" s="49">
        <v>40057</v>
      </c>
      <c r="K206" s="45">
        <v>16.34</v>
      </c>
      <c r="L206" s="45">
        <f t="shared" ref="L206:L212" si="32">K206/(31.1035)</f>
        <v>0.52534280707958914</v>
      </c>
      <c r="M206" s="45">
        <f t="shared" si="29"/>
        <v>0.51657816001414647</v>
      </c>
      <c r="N206" s="45">
        <f t="shared" si="25"/>
        <v>0.96806512007945522</v>
      </c>
    </row>
    <row r="207" spans="1:14" x14ac:dyDescent="0.2">
      <c r="A207" s="49">
        <v>39962</v>
      </c>
      <c r="B207" s="46">
        <v>1068.68</v>
      </c>
      <c r="C207" s="45">
        <f t="shared" si="30"/>
        <v>34.358834214798982</v>
      </c>
      <c r="D207" s="45">
        <f t="shared" si="31"/>
        <v>14.316180922832908</v>
      </c>
      <c r="E207" s="45">
        <f t="shared" si="28"/>
        <v>13.95866146866377</v>
      </c>
      <c r="F207" s="45">
        <f t="shared" ref="F207:F270" si="33">ABS((D207-E207)/D207)</f>
        <v>2.4973102540142476E-2</v>
      </c>
      <c r="J207" s="49">
        <v>40026</v>
      </c>
      <c r="K207" s="45">
        <v>14.99</v>
      </c>
      <c r="L207" s="45">
        <f t="shared" si="32"/>
        <v>0.48193933158647739</v>
      </c>
      <c r="M207" s="45">
        <f t="shared" si="29"/>
        <v>0.52523786712106368</v>
      </c>
      <c r="N207" s="45">
        <f t="shared" ref="N207:N212" si="34">ABS((L207-F207)/L207)</f>
        <v>0.94818206171732344</v>
      </c>
    </row>
    <row r="208" spans="1:14" x14ac:dyDescent="0.2">
      <c r="A208" s="49">
        <v>39933</v>
      </c>
      <c r="B208" s="46">
        <v>1090.43</v>
      </c>
      <c r="C208" s="45">
        <f t="shared" si="30"/>
        <v>35.058112431076893</v>
      </c>
      <c r="D208" s="45">
        <f t="shared" si="31"/>
        <v>14.607546846282037</v>
      </c>
      <c r="E208" s="45">
        <f t="shared" si="28"/>
        <v>13.796440124259203</v>
      </c>
      <c r="F208" s="45">
        <f t="shared" si="33"/>
        <v>5.5526552853690188E-2</v>
      </c>
      <c r="J208" s="49">
        <v>39995</v>
      </c>
      <c r="K208" s="45">
        <v>15.82</v>
      </c>
      <c r="L208" s="45">
        <f t="shared" si="32"/>
        <v>0.50862443133409418</v>
      </c>
      <c r="M208" s="45">
        <f t="shared" si="29"/>
        <v>0.52939122606780598</v>
      </c>
      <c r="N208" s="45">
        <f t="shared" si="34"/>
        <v>0.89082995343332794</v>
      </c>
    </row>
    <row r="209" spans="1:14" x14ac:dyDescent="0.2">
      <c r="A209" s="49">
        <v>39903</v>
      </c>
      <c r="B209" s="46">
        <v>1168.73</v>
      </c>
      <c r="C209" s="45">
        <f t="shared" si="30"/>
        <v>37.57551400967737</v>
      </c>
      <c r="D209" s="45">
        <f t="shared" si="31"/>
        <v>15.656464170698905</v>
      </c>
      <c r="E209" s="45">
        <f t="shared" si="28"/>
        <v>13.331434112649275</v>
      </c>
      <c r="F209" s="45">
        <f t="shared" si="33"/>
        <v>0.14850288243247972</v>
      </c>
      <c r="J209" s="49">
        <v>39965</v>
      </c>
      <c r="K209" s="45">
        <v>17.2</v>
      </c>
      <c r="L209" s="45">
        <f t="shared" si="32"/>
        <v>0.55299242850483066</v>
      </c>
      <c r="M209" s="45">
        <f t="shared" si="29"/>
        <v>0.52349092545854981</v>
      </c>
      <c r="N209" s="45">
        <f t="shared" si="34"/>
        <v>0.73145584861984692</v>
      </c>
    </row>
    <row r="210" spans="1:14" x14ac:dyDescent="0.2">
      <c r="A210" s="49">
        <v>39871</v>
      </c>
      <c r="B210" s="46">
        <v>1174.49</v>
      </c>
      <c r="C210" s="45">
        <f t="shared" si="30"/>
        <v>37.760702171781311</v>
      </c>
      <c r="D210" s="45">
        <f t="shared" si="31"/>
        <v>15.733625904908878</v>
      </c>
      <c r="E210" s="45">
        <f t="shared" si="28"/>
        <v>12.730886164584373</v>
      </c>
      <c r="F210" s="45">
        <f t="shared" si="33"/>
        <v>0.19084855318618282</v>
      </c>
      <c r="J210" s="49">
        <v>39934</v>
      </c>
      <c r="K210" s="45">
        <v>14.78</v>
      </c>
      <c r="L210" s="45">
        <f t="shared" si="32"/>
        <v>0.47518767984310445</v>
      </c>
      <c r="M210" s="45">
        <f t="shared" si="29"/>
        <v>0.53556673686241107</v>
      </c>
      <c r="N210" s="45">
        <f t="shared" si="34"/>
        <v>0.59837226156790002</v>
      </c>
    </row>
    <row r="211" spans="1:14" x14ac:dyDescent="0.2">
      <c r="A211" s="49">
        <v>39843</v>
      </c>
      <c r="B211" s="46">
        <v>1052.25</v>
      </c>
      <c r="C211" s="45">
        <f t="shared" si="30"/>
        <v>33.830597842686515</v>
      </c>
      <c r="D211" s="45">
        <f t="shared" si="31"/>
        <v>14.096082434452715</v>
      </c>
      <c r="E211" s="45">
        <f t="shared" si="28"/>
        <v>12.389587097117285</v>
      </c>
      <c r="F211" s="45">
        <f t="shared" si="33"/>
        <v>0.12106167406942271</v>
      </c>
      <c r="J211" s="49">
        <v>39904</v>
      </c>
      <c r="K211" s="45">
        <v>16.37</v>
      </c>
      <c r="L211" s="45">
        <f t="shared" si="32"/>
        <v>0.52630732875721387</v>
      </c>
      <c r="M211" s="45">
        <f t="shared" si="29"/>
        <v>0.53788158888871029</v>
      </c>
      <c r="N211" s="45">
        <f t="shared" si="34"/>
        <v>0.76997912159937154</v>
      </c>
    </row>
    <row r="212" spans="1:14" x14ac:dyDescent="0.2">
      <c r="A212" s="49">
        <v>39813</v>
      </c>
      <c r="B212" s="46">
        <v>1008.49</v>
      </c>
      <c r="C212" s="45">
        <f t="shared" si="30"/>
        <v>32.423682222257945</v>
      </c>
      <c r="D212" s="45">
        <f t="shared" si="31"/>
        <v>13.509867592607476</v>
      </c>
      <c r="E212" s="45">
        <f t="shared" si="28"/>
        <v>12.109516973244737</v>
      </c>
      <c r="F212" s="45">
        <f t="shared" si="33"/>
        <v>0.10365391146609035</v>
      </c>
      <c r="J212" s="49">
        <v>39873</v>
      </c>
      <c r="K212" s="45">
        <v>16.73</v>
      </c>
      <c r="L212" s="45">
        <f t="shared" si="32"/>
        <v>0.53788158888871029</v>
      </c>
      <c r="M212" s="45">
        <f>L212</f>
        <v>0.53788158888871029</v>
      </c>
      <c r="N212" s="45">
        <f t="shared" si="34"/>
        <v>0.80729232305525755</v>
      </c>
    </row>
    <row r="213" spans="1:14" x14ac:dyDescent="0.2">
      <c r="A213" s="49">
        <v>39780</v>
      </c>
      <c r="B213" s="46">
        <v>928.09</v>
      </c>
      <c r="C213" s="45">
        <f t="shared" si="30"/>
        <v>29.838764126223737</v>
      </c>
      <c r="D213" s="45">
        <f t="shared" si="31"/>
        <v>12.432818385926556</v>
      </c>
      <c r="E213" s="45">
        <f t="shared" si="28"/>
        <v>12.028691620074282</v>
      </c>
      <c r="F213" s="45">
        <f t="shared" si="33"/>
        <v>3.2504839474670429E-2</v>
      </c>
    </row>
    <row r="214" spans="1:14" x14ac:dyDescent="0.2">
      <c r="A214" s="49">
        <v>39752</v>
      </c>
      <c r="B214" s="46">
        <v>949.87</v>
      </c>
      <c r="C214" s="45">
        <f t="shared" si="30"/>
        <v>30.539006864179271</v>
      </c>
      <c r="D214" s="45">
        <f t="shared" si="31"/>
        <v>12.72458619340803</v>
      </c>
      <c r="E214" s="45">
        <f t="shared" si="28"/>
        <v>11.854717976740845</v>
      </c>
      <c r="F214" s="45">
        <f t="shared" si="33"/>
        <v>6.8361218466799267E-2</v>
      </c>
    </row>
    <row r="215" spans="1:14" x14ac:dyDescent="0.2">
      <c r="A215" s="49">
        <v>39721</v>
      </c>
      <c r="B215" s="46">
        <v>878.05</v>
      </c>
      <c r="C215" s="45">
        <f t="shared" si="30"/>
        <v>28.229941967945727</v>
      </c>
      <c r="D215" s="45">
        <f t="shared" si="31"/>
        <v>11.762475819977388</v>
      </c>
      <c r="E215" s="45">
        <f t="shared" si="28"/>
        <v>11.877778515931709</v>
      </c>
      <c r="F215" s="45">
        <f t="shared" si="33"/>
        <v>9.8025872885104202E-3</v>
      </c>
    </row>
    <row r="216" spans="1:14" x14ac:dyDescent="0.2">
      <c r="A216" s="49">
        <v>39689</v>
      </c>
      <c r="B216" s="46">
        <v>884.24</v>
      </c>
      <c r="C216" s="45">
        <f t="shared" si="30"/>
        <v>28.428954940762292</v>
      </c>
      <c r="D216" s="45">
        <f t="shared" si="31"/>
        <v>11.845397891984287</v>
      </c>
      <c r="E216" s="45">
        <f t="shared" si="28"/>
        <v>11.885873671918562</v>
      </c>
      <c r="F216" s="45">
        <f t="shared" si="33"/>
        <v>3.4170046716340396E-3</v>
      </c>
    </row>
    <row r="217" spans="1:14" x14ac:dyDescent="0.2">
      <c r="A217" s="49">
        <v>39660</v>
      </c>
      <c r="B217" s="46">
        <v>952.22</v>
      </c>
      <c r="C217" s="45">
        <f t="shared" si="30"/>
        <v>30.614561062259874</v>
      </c>
      <c r="D217" s="45">
        <f t="shared" si="31"/>
        <v>12.756067109274946</v>
      </c>
      <c r="E217" s="45">
        <f t="shared" si="28"/>
        <v>11.668325312579466</v>
      </c>
      <c r="F217" s="45">
        <f t="shared" si="33"/>
        <v>8.5272505026614556E-2</v>
      </c>
    </row>
    <row r="218" spans="1:14" x14ac:dyDescent="0.2">
      <c r="A218" s="49">
        <v>39629</v>
      </c>
      <c r="B218" s="46">
        <v>904.39</v>
      </c>
      <c r="C218" s="45">
        <f t="shared" si="30"/>
        <v>29.07679200090022</v>
      </c>
      <c r="D218" s="45">
        <f t="shared" si="31"/>
        <v>12.11533000037509</v>
      </c>
      <c r="E218" s="45">
        <f t="shared" si="28"/>
        <v>11.556574140630559</v>
      </c>
      <c r="F218" s="45">
        <f t="shared" si="33"/>
        <v>4.6119739183929136E-2</v>
      </c>
    </row>
    <row r="219" spans="1:14" x14ac:dyDescent="0.2">
      <c r="A219" s="49">
        <v>39598</v>
      </c>
      <c r="B219" s="46">
        <v>887.74</v>
      </c>
      <c r="C219" s="45">
        <f t="shared" si="30"/>
        <v>28.541482469818508</v>
      </c>
      <c r="D219" s="45">
        <f t="shared" si="31"/>
        <v>11.892284362424379</v>
      </c>
      <c r="E219" s="45">
        <f t="shared" si="28"/>
        <v>11.472646585182105</v>
      </c>
      <c r="F219" s="45">
        <f t="shared" si="33"/>
        <v>3.5286557607736684E-2</v>
      </c>
    </row>
    <row r="220" spans="1:14" x14ac:dyDescent="0.2">
      <c r="A220" s="49">
        <v>39568</v>
      </c>
      <c r="B220" s="46">
        <v>922.37</v>
      </c>
      <c r="C220" s="45">
        <f t="shared" si="30"/>
        <v>29.654861993023292</v>
      </c>
      <c r="D220" s="45">
        <f t="shared" si="31"/>
        <v>12.356192497093039</v>
      </c>
      <c r="E220" s="45">
        <f t="shared" si="28"/>
        <v>11.251760107204371</v>
      </c>
      <c r="F220" s="45">
        <f t="shared" si="33"/>
        <v>8.9382905789829728E-2</v>
      </c>
    </row>
    <row r="221" spans="1:14" x14ac:dyDescent="0.2">
      <c r="A221" s="49">
        <v>39538</v>
      </c>
      <c r="B221" s="46">
        <v>969.05</v>
      </c>
      <c r="C221" s="45">
        <f t="shared" si="30"/>
        <v>31.15565772340733</v>
      </c>
      <c r="D221" s="45">
        <f t="shared" si="31"/>
        <v>12.981524051419722</v>
      </c>
      <c r="E221" s="45">
        <f t="shared" si="28"/>
        <v>10.819319121150532</v>
      </c>
      <c r="F221" s="45">
        <f t="shared" si="33"/>
        <v>0.16656017596275388</v>
      </c>
    </row>
    <row r="222" spans="1:14" x14ac:dyDescent="0.2">
      <c r="A222" s="49">
        <v>39507</v>
      </c>
      <c r="B222" s="46">
        <v>921.7</v>
      </c>
      <c r="C222" s="45">
        <f t="shared" si="30"/>
        <v>29.633321008889677</v>
      </c>
      <c r="D222" s="45">
        <f t="shared" si="31"/>
        <v>12.347217087037365</v>
      </c>
      <c r="E222" s="45">
        <f t="shared" si="28"/>
        <v>10.437344629678824</v>
      </c>
      <c r="F222" s="45">
        <f t="shared" si="33"/>
        <v>0.15468039833555741</v>
      </c>
    </row>
    <row r="223" spans="1:14" x14ac:dyDescent="0.2">
      <c r="A223" s="49">
        <v>39478</v>
      </c>
      <c r="B223" s="46">
        <v>899.46</v>
      </c>
      <c r="C223" s="45">
        <f t="shared" si="30"/>
        <v>28.918288938543895</v>
      </c>
      <c r="D223" s="45">
        <f t="shared" si="31"/>
        <v>12.049287057726623</v>
      </c>
      <c r="E223" s="45">
        <f t="shared" si="28"/>
        <v>10.034359022666873</v>
      </c>
      <c r="F223" s="45">
        <f t="shared" si="33"/>
        <v>0.16722383867248597</v>
      </c>
    </row>
    <row r="224" spans="1:14" x14ac:dyDescent="0.2">
      <c r="A224" s="49">
        <v>39447</v>
      </c>
      <c r="B224" s="46">
        <v>807.21</v>
      </c>
      <c r="C224" s="45">
        <f t="shared" si="30"/>
        <v>25.952384779847929</v>
      </c>
      <c r="D224" s="45">
        <f t="shared" si="31"/>
        <v>10.813493658269969</v>
      </c>
      <c r="E224" s="45">
        <f t="shared" si="28"/>
        <v>9.8395753637660999</v>
      </c>
      <c r="F224" s="45">
        <f t="shared" si="33"/>
        <v>9.0065091383212129E-2</v>
      </c>
    </row>
    <row r="225" spans="1:6" x14ac:dyDescent="0.2">
      <c r="A225" s="49">
        <v>39416</v>
      </c>
      <c r="B225" s="46">
        <v>779.51</v>
      </c>
      <c r="C225" s="45">
        <f t="shared" si="30"/>
        <v>25.061809764174448</v>
      </c>
      <c r="D225" s="45">
        <f t="shared" si="31"/>
        <v>10.442420735072686</v>
      </c>
      <c r="E225" s="45">
        <f t="shared" si="28"/>
        <v>9.6888640209394534</v>
      </c>
      <c r="F225" s="45">
        <f t="shared" si="33"/>
        <v>7.2163029363706915E-2</v>
      </c>
    </row>
    <row r="226" spans="1:6" x14ac:dyDescent="0.2">
      <c r="A226" s="49">
        <v>39386</v>
      </c>
      <c r="B226" s="46">
        <v>736.07</v>
      </c>
      <c r="C226" s="45">
        <f t="shared" si="30"/>
        <v>23.665182374973877</v>
      </c>
      <c r="D226" s="45">
        <f t="shared" si="31"/>
        <v>9.8604926562391153</v>
      </c>
      <c r="E226" s="45">
        <f t="shared" si="28"/>
        <v>9.645956862114538</v>
      </c>
      <c r="F226" s="45">
        <f t="shared" si="33"/>
        <v>2.1757107033473853E-2</v>
      </c>
    </row>
    <row r="227" spans="1:6" x14ac:dyDescent="0.2">
      <c r="A227" s="49">
        <v>39353</v>
      </c>
      <c r="B227" s="46">
        <v>731.27</v>
      </c>
      <c r="C227" s="45">
        <f t="shared" si="30"/>
        <v>23.510858906553924</v>
      </c>
      <c r="D227" s="45">
        <f t="shared" si="31"/>
        <v>9.7961912110641354</v>
      </c>
      <c r="E227" s="45">
        <f t="shared" si="28"/>
        <v>9.6083982748771373</v>
      </c>
      <c r="F227" s="45">
        <f t="shared" si="33"/>
        <v>1.9169994964461156E-2</v>
      </c>
    </row>
    <row r="228" spans="1:6" x14ac:dyDescent="0.2">
      <c r="A228" s="49">
        <v>39325</v>
      </c>
      <c r="B228" s="46">
        <v>704.33</v>
      </c>
      <c r="C228" s="45">
        <f t="shared" si="30"/>
        <v>22.64471844004694</v>
      </c>
      <c r="D228" s="45">
        <f t="shared" si="31"/>
        <v>9.4352993500195588</v>
      </c>
      <c r="E228" s="45">
        <f t="shared" si="28"/>
        <v>9.6516730060915314</v>
      </c>
      <c r="F228" s="45">
        <f t="shared" si="33"/>
        <v>2.293235731535366E-2</v>
      </c>
    </row>
    <row r="229" spans="1:6" x14ac:dyDescent="0.2">
      <c r="A229" s="49">
        <v>39294</v>
      </c>
      <c r="B229" s="46">
        <v>699.07</v>
      </c>
      <c r="C229" s="45">
        <f t="shared" si="30"/>
        <v>22.475605639236743</v>
      </c>
      <c r="D229" s="45">
        <f t="shared" si="31"/>
        <v>9.3648356830153094</v>
      </c>
      <c r="E229" s="45">
        <f t="shared" si="28"/>
        <v>9.7233823368605865</v>
      </c>
      <c r="F229" s="45">
        <f t="shared" si="33"/>
        <v>3.8286486381769749E-2</v>
      </c>
    </row>
    <row r="230" spans="1:6" x14ac:dyDescent="0.2">
      <c r="A230" s="49">
        <v>39262</v>
      </c>
      <c r="B230" s="46">
        <v>698.3</v>
      </c>
      <c r="C230" s="45">
        <f t="shared" si="30"/>
        <v>22.450849582844373</v>
      </c>
      <c r="D230" s="45">
        <f t="shared" si="31"/>
        <v>9.3545206595184887</v>
      </c>
      <c r="E230" s="45">
        <f t="shared" si="28"/>
        <v>9.8155977561961105</v>
      </c>
      <c r="F230" s="45">
        <f t="shared" si="33"/>
        <v>4.9289227471902897E-2</v>
      </c>
    </row>
    <row r="231" spans="1:6" x14ac:dyDescent="0.2">
      <c r="A231" s="49">
        <v>39233</v>
      </c>
      <c r="B231" s="46">
        <v>730.51</v>
      </c>
      <c r="C231" s="45">
        <f t="shared" si="30"/>
        <v>23.486424357387431</v>
      </c>
      <c r="D231" s="45">
        <f t="shared" si="31"/>
        <v>9.78601014891143</v>
      </c>
      <c r="E231" s="45">
        <f t="shared" si="28"/>
        <v>9.8229946580172811</v>
      </c>
      <c r="F231" s="45">
        <f t="shared" si="33"/>
        <v>3.7793246218904872E-3</v>
      </c>
    </row>
    <row r="232" spans="1:6" x14ac:dyDescent="0.2">
      <c r="A232" s="49">
        <v>39202</v>
      </c>
      <c r="B232" s="46">
        <v>769.97</v>
      </c>
      <c r="C232" s="45">
        <f t="shared" si="30"/>
        <v>24.755091870689796</v>
      </c>
      <c r="D232" s="45">
        <f t="shared" si="31"/>
        <v>10.314621612787416</v>
      </c>
      <c r="E232" s="45">
        <f t="shared" si="28"/>
        <v>9.7000879193247478</v>
      </c>
      <c r="F232" s="45">
        <f t="shared" si="33"/>
        <v>5.9578888739923175E-2</v>
      </c>
    </row>
    <row r="233" spans="1:6" x14ac:dyDescent="0.2">
      <c r="A233" s="49">
        <v>39171</v>
      </c>
      <c r="B233" s="46">
        <v>765.51</v>
      </c>
      <c r="C233" s="45">
        <f t="shared" si="30"/>
        <v>24.611699647949585</v>
      </c>
      <c r="D233" s="45">
        <f t="shared" si="31"/>
        <v>10.254874853312328</v>
      </c>
      <c r="E233" s="45">
        <f t="shared" si="28"/>
        <v>9.5613911858278513</v>
      </c>
      <c r="F233" s="45">
        <f t="shared" si="33"/>
        <v>6.7624781131334979E-2</v>
      </c>
    </row>
    <row r="234" spans="1:6" x14ac:dyDescent="0.2">
      <c r="A234" s="49">
        <v>39141</v>
      </c>
      <c r="B234" s="46">
        <v>778.18</v>
      </c>
      <c r="C234" s="45">
        <f t="shared" si="30"/>
        <v>25.019049303133087</v>
      </c>
      <c r="D234" s="45">
        <f t="shared" si="31"/>
        <v>10.424603876305454</v>
      </c>
      <c r="E234" s="45">
        <f t="shared" si="28"/>
        <v>9.3455880132084506</v>
      </c>
      <c r="F234" s="45">
        <f t="shared" si="33"/>
        <v>0.10350665367242844</v>
      </c>
    </row>
    <row r="235" spans="1:6" x14ac:dyDescent="0.2">
      <c r="A235" s="49">
        <v>39113</v>
      </c>
      <c r="B235" s="46">
        <v>742.18</v>
      </c>
      <c r="C235" s="45">
        <f t="shared" si="30"/>
        <v>23.861623289983442</v>
      </c>
      <c r="D235" s="45">
        <f t="shared" si="31"/>
        <v>9.9423430374931012</v>
      </c>
      <c r="E235" s="45">
        <f t="shared" si="28"/>
        <v>9.196399257137287</v>
      </c>
      <c r="F235" s="45">
        <f t="shared" si="33"/>
        <v>7.5026960701599282E-2</v>
      </c>
    </row>
    <row r="236" spans="1:6" x14ac:dyDescent="0.2">
      <c r="A236" s="49">
        <v>39080</v>
      </c>
      <c r="B236" s="46">
        <v>725.43</v>
      </c>
      <c r="C236" s="45">
        <f t="shared" si="30"/>
        <v>23.323098686642979</v>
      </c>
      <c r="D236" s="45">
        <f t="shared" si="31"/>
        <v>9.7179577861012412</v>
      </c>
      <c r="E236" s="45">
        <f t="shared" si="28"/>
        <v>9.0660096248962994</v>
      </c>
      <c r="F236" s="45">
        <f t="shared" si="33"/>
        <v>6.708695134870489E-2</v>
      </c>
    </row>
    <row r="237" spans="1:6" x14ac:dyDescent="0.2">
      <c r="A237" s="49">
        <v>39051</v>
      </c>
      <c r="B237" s="46">
        <v>713.44</v>
      </c>
      <c r="C237" s="45">
        <f t="shared" si="30"/>
        <v>22.937611522818976</v>
      </c>
      <c r="D237" s="45">
        <f t="shared" si="31"/>
        <v>9.5573381345079067</v>
      </c>
      <c r="E237" s="45">
        <f t="shared" si="28"/>
        <v>8.943177497493398</v>
      </c>
      <c r="F237" s="45">
        <f t="shared" si="33"/>
        <v>6.4260637048825203E-2</v>
      </c>
    </row>
    <row r="238" spans="1:6" x14ac:dyDescent="0.2">
      <c r="A238" s="49">
        <v>39021</v>
      </c>
      <c r="B238" s="46">
        <v>660.93</v>
      </c>
      <c r="C238" s="45">
        <f t="shared" si="30"/>
        <v>21.249377079749866</v>
      </c>
      <c r="D238" s="45">
        <f t="shared" si="31"/>
        <v>8.8539071165624446</v>
      </c>
      <c r="E238" s="45">
        <f t="shared" si="28"/>
        <v>8.965495092726135</v>
      </c>
      <c r="F238" s="45">
        <f t="shared" si="33"/>
        <v>1.260324675814024E-2</v>
      </c>
    </row>
    <row r="239" spans="1:6" x14ac:dyDescent="0.2">
      <c r="A239" s="49">
        <v>38989</v>
      </c>
      <c r="B239" s="46">
        <v>667.48</v>
      </c>
      <c r="C239" s="45">
        <f t="shared" si="30"/>
        <v>21.459964312697927</v>
      </c>
      <c r="D239" s="45">
        <f t="shared" si="31"/>
        <v>8.9416517969574691</v>
      </c>
      <c r="E239" s="45">
        <f t="shared" si="28"/>
        <v>8.971455916668301</v>
      </c>
      <c r="F239" s="45">
        <f t="shared" si="33"/>
        <v>3.3331782972104945E-3</v>
      </c>
    </row>
    <row r="240" spans="1:6" x14ac:dyDescent="0.2">
      <c r="A240" s="49">
        <v>38960</v>
      </c>
      <c r="B240" s="46">
        <v>708.14</v>
      </c>
      <c r="C240" s="45">
        <f t="shared" si="30"/>
        <v>22.767212693105275</v>
      </c>
      <c r="D240" s="45">
        <f t="shared" si="31"/>
        <v>9.4863386221271977</v>
      </c>
      <c r="E240" s="45">
        <f t="shared" si="28"/>
        <v>8.8427352403035755</v>
      </c>
      <c r="F240" s="45">
        <f t="shared" si="33"/>
        <v>6.7845288626150885E-2</v>
      </c>
    </row>
    <row r="241" spans="1:6" x14ac:dyDescent="0.2">
      <c r="A241" s="49">
        <v>38929</v>
      </c>
      <c r="B241" s="46">
        <v>715.18</v>
      </c>
      <c r="C241" s="45">
        <f t="shared" si="30"/>
        <v>22.993553780121207</v>
      </c>
      <c r="D241" s="45">
        <f t="shared" si="31"/>
        <v>9.580647408383836</v>
      </c>
      <c r="E241" s="45">
        <f t="shared" si="28"/>
        <v>8.6582571982835095</v>
      </c>
      <c r="F241" s="45">
        <f t="shared" si="33"/>
        <v>9.6276396654902563E-2</v>
      </c>
    </row>
    <row r="242" spans="1:6" x14ac:dyDescent="0.2">
      <c r="A242" s="49">
        <v>38898</v>
      </c>
      <c r="B242" s="46">
        <v>663.93</v>
      </c>
      <c r="C242" s="45">
        <f t="shared" si="30"/>
        <v>21.345829247512334</v>
      </c>
      <c r="D242" s="45">
        <f t="shared" si="31"/>
        <v>8.8940955197968066</v>
      </c>
      <c r="E242" s="45">
        <f t="shared" si="28"/>
        <v>8.5992976179051848</v>
      </c>
      <c r="F242" s="45">
        <f t="shared" si="33"/>
        <v>3.3145349207848028E-2</v>
      </c>
    </row>
    <row r="243" spans="1:6" x14ac:dyDescent="0.2">
      <c r="A243" s="49">
        <v>38868</v>
      </c>
      <c r="B243" s="46">
        <v>749.69</v>
      </c>
      <c r="C243" s="45">
        <f t="shared" si="30"/>
        <v>24.103075216615494</v>
      </c>
      <c r="D243" s="45">
        <f t="shared" si="31"/>
        <v>10.042948006923123</v>
      </c>
      <c r="E243" s="45">
        <f t="shared" si="28"/>
        <v>8.2383850206506999</v>
      </c>
      <c r="F243" s="45">
        <f t="shared" si="33"/>
        <v>0.17968458912945126</v>
      </c>
    </row>
    <row r="244" spans="1:6" x14ac:dyDescent="0.2">
      <c r="A244" s="49">
        <v>38835</v>
      </c>
      <c r="B244" s="46">
        <v>698.22</v>
      </c>
      <c r="C244" s="45">
        <f t="shared" si="30"/>
        <v>22.448277525037376</v>
      </c>
      <c r="D244" s="45">
        <f t="shared" si="31"/>
        <v>9.3534489687655729</v>
      </c>
      <c r="E244" s="45">
        <f t="shared" si="28"/>
        <v>7.9596190336219799</v>
      </c>
      <c r="F244" s="45">
        <f t="shared" si="33"/>
        <v>0.14901775161206066</v>
      </c>
    </row>
    <row r="245" spans="1:6" x14ac:dyDescent="0.2">
      <c r="A245" s="49">
        <v>38807</v>
      </c>
      <c r="B245" s="46">
        <v>644.74</v>
      </c>
      <c r="C245" s="45">
        <f t="shared" si="30"/>
        <v>20.728856881058402</v>
      </c>
      <c r="D245" s="45">
        <f t="shared" si="31"/>
        <v>8.6370237004410004</v>
      </c>
      <c r="E245" s="45">
        <f t="shared" si="28"/>
        <v>7.7902678669172234</v>
      </c>
      <c r="F245" s="45">
        <f t="shared" si="33"/>
        <v>9.8037919414362878E-2</v>
      </c>
    </row>
    <row r="246" spans="1:6" x14ac:dyDescent="0.2">
      <c r="A246" s="49">
        <v>38776</v>
      </c>
      <c r="B246" s="46">
        <v>637.74</v>
      </c>
      <c r="C246" s="45">
        <f t="shared" si="30"/>
        <v>20.50380182294597</v>
      </c>
      <c r="D246" s="45">
        <f t="shared" si="31"/>
        <v>8.54325075956082</v>
      </c>
      <c r="E246" s="45">
        <f t="shared" si="28"/>
        <v>7.6020221437563231</v>
      </c>
      <c r="F246" s="45">
        <f t="shared" si="33"/>
        <v>0.11017218647727979</v>
      </c>
    </row>
    <row r="247" spans="1:6" x14ac:dyDescent="0.2">
      <c r="A247" s="49">
        <v>38748</v>
      </c>
      <c r="B247" s="46">
        <v>636.29</v>
      </c>
      <c r="C247" s="45">
        <f t="shared" si="30"/>
        <v>20.457183275194108</v>
      </c>
      <c r="D247" s="45">
        <f t="shared" si="31"/>
        <v>8.5238263646642114</v>
      </c>
      <c r="E247" s="45">
        <f t="shared" si="28"/>
        <v>7.3715710885293504</v>
      </c>
      <c r="F247" s="45">
        <f t="shared" si="33"/>
        <v>0.13518051950372562</v>
      </c>
    </row>
    <row r="248" spans="1:6" x14ac:dyDescent="0.2">
      <c r="A248" s="49">
        <v>38716</v>
      </c>
      <c r="B248" s="46">
        <v>591.94000000000005</v>
      </c>
      <c r="C248" s="45">
        <f t="shared" si="30"/>
        <v>19.031298728438923</v>
      </c>
      <c r="D248" s="45">
        <f t="shared" si="31"/>
        <v>7.9297078035162185</v>
      </c>
      <c r="E248" s="45">
        <f t="shared" si="28"/>
        <v>7.2320369097826323</v>
      </c>
      <c r="F248" s="45">
        <f t="shared" si="33"/>
        <v>8.79819169912191E-2</v>
      </c>
    </row>
    <row r="249" spans="1:6" x14ac:dyDescent="0.2">
      <c r="A249" s="49">
        <v>38686</v>
      </c>
      <c r="B249" s="46">
        <v>563.09</v>
      </c>
      <c r="C249" s="45">
        <f t="shared" si="30"/>
        <v>18.10375038178983</v>
      </c>
      <c r="D249" s="45">
        <f t="shared" si="31"/>
        <v>7.543229325745763</v>
      </c>
      <c r="E249" s="45">
        <f t="shared" si="28"/>
        <v>7.1542388057918487</v>
      </c>
      <c r="F249" s="45">
        <f t="shared" si="33"/>
        <v>5.156816837402152E-2</v>
      </c>
    </row>
    <row r="250" spans="1:6" x14ac:dyDescent="0.2">
      <c r="A250" s="49">
        <v>38656</v>
      </c>
      <c r="B250" s="46">
        <v>553.41</v>
      </c>
      <c r="C250" s="45">
        <f t="shared" si="30"/>
        <v>17.792531387142926</v>
      </c>
      <c r="D250" s="45">
        <f t="shared" si="31"/>
        <v>7.4135547446428864</v>
      </c>
      <c r="E250" s="45">
        <f t="shared" si="28"/>
        <v>7.089409821079089</v>
      </c>
      <c r="F250" s="45">
        <f t="shared" si="33"/>
        <v>4.372327914594925E-2</v>
      </c>
    </row>
    <row r="251" spans="1:6" x14ac:dyDescent="0.2">
      <c r="A251" s="49">
        <v>38625</v>
      </c>
      <c r="B251" s="46">
        <v>537.12</v>
      </c>
      <c r="C251" s="45">
        <f t="shared" si="30"/>
        <v>17.268796116192711</v>
      </c>
      <c r="D251" s="45">
        <f t="shared" si="31"/>
        <v>7.1953317150802967</v>
      </c>
      <c r="E251" s="45">
        <f t="shared" si="28"/>
        <v>7.0629293475787867</v>
      </c>
      <c r="F251" s="45">
        <f t="shared" si="33"/>
        <v>1.8401148514670316E-2</v>
      </c>
    </row>
    <row r="252" spans="1:6" x14ac:dyDescent="0.2">
      <c r="A252" s="49">
        <v>38595</v>
      </c>
      <c r="B252" s="46">
        <v>527.64</v>
      </c>
      <c r="C252" s="45">
        <f t="shared" si="30"/>
        <v>16.964007266063305</v>
      </c>
      <c r="D252" s="45">
        <f t="shared" si="31"/>
        <v>7.0683363608597105</v>
      </c>
      <c r="E252" s="45">
        <f t="shared" si="28"/>
        <v>7.061577594258555</v>
      </c>
      <c r="F252" s="45">
        <f t="shared" si="33"/>
        <v>9.5620330670475164E-4</v>
      </c>
    </row>
    <row r="253" spans="1:6" x14ac:dyDescent="0.2">
      <c r="A253" s="49">
        <v>38562</v>
      </c>
      <c r="B253" s="46">
        <v>519.4</v>
      </c>
      <c r="C253" s="45">
        <f t="shared" si="30"/>
        <v>16.699085311942383</v>
      </c>
      <c r="D253" s="45">
        <f t="shared" si="31"/>
        <v>6.9579522133093263</v>
      </c>
      <c r="E253" s="45">
        <f t="shared" si="28"/>
        <v>7.0874839394958613</v>
      </c>
      <c r="F253" s="45">
        <f t="shared" si="33"/>
        <v>1.8616357545365687E-2</v>
      </c>
    </row>
    <row r="254" spans="1:6" x14ac:dyDescent="0.2">
      <c r="A254" s="49">
        <v>38533</v>
      </c>
      <c r="B254" s="46">
        <v>534.01</v>
      </c>
      <c r="C254" s="45">
        <f t="shared" si="30"/>
        <v>17.168807368945618</v>
      </c>
      <c r="D254" s="45">
        <f t="shared" si="31"/>
        <v>7.1536697370606737</v>
      </c>
      <c r="E254" s="45">
        <f t="shared" si="28"/>
        <v>7.070937490104658</v>
      </c>
      <c r="F254" s="45">
        <f t="shared" si="33"/>
        <v>1.1565007890622722E-2</v>
      </c>
    </row>
    <row r="255" spans="1:6" x14ac:dyDescent="0.2">
      <c r="A255" s="49">
        <v>38503</v>
      </c>
      <c r="B255" s="46">
        <v>529.61</v>
      </c>
      <c r="C255" s="45">
        <f t="shared" si="30"/>
        <v>17.027344189560662</v>
      </c>
      <c r="D255" s="45">
        <f t="shared" si="31"/>
        <v>7.0947267456502763</v>
      </c>
      <c r="E255" s="45">
        <f t="shared" si="28"/>
        <v>7.0649901762182532</v>
      </c>
      <c r="F255" s="45">
        <f t="shared" si="33"/>
        <v>4.1913621902710122E-3</v>
      </c>
    </row>
    <row r="256" spans="1:6" x14ac:dyDescent="0.2">
      <c r="A256" s="49">
        <v>38471</v>
      </c>
      <c r="B256" s="46">
        <v>530.79999999999995</v>
      </c>
      <c r="C256" s="45">
        <f t="shared" si="30"/>
        <v>17.065603549439771</v>
      </c>
      <c r="D256" s="45">
        <f t="shared" si="31"/>
        <v>7.1106681455999041</v>
      </c>
      <c r="E256" s="45">
        <f t="shared" si="28"/>
        <v>7.0535706838728398</v>
      </c>
      <c r="F256" s="45">
        <f t="shared" si="33"/>
        <v>8.0298307497863389E-3</v>
      </c>
    </row>
    <row r="257" spans="1:6" x14ac:dyDescent="0.2">
      <c r="A257" s="49">
        <v>38442</v>
      </c>
      <c r="B257" s="46">
        <v>527.69000000000005</v>
      </c>
      <c r="C257" s="45">
        <f t="shared" si="30"/>
        <v>16.965614802192682</v>
      </c>
      <c r="D257" s="45">
        <f t="shared" si="31"/>
        <v>7.0690061675802838</v>
      </c>
      <c r="E257" s="45">
        <f t="shared" si="28"/>
        <v>7.0497118129459784</v>
      </c>
      <c r="F257" s="45">
        <f t="shared" si="33"/>
        <v>2.7294295940485571E-3</v>
      </c>
    </row>
    <row r="258" spans="1:6" x14ac:dyDescent="0.2">
      <c r="A258" s="49">
        <v>38411</v>
      </c>
      <c r="B258" s="46">
        <v>524.49</v>
      </c>
      <c r="C258" s="45">
        <f t="shared" si="30"/>
        <v>16.862732489912712</v>
      </c>
      <c r="D258" s="45">
        <f t="shared" si="31"/>
        <v>7.0261385374636296</v>
      </c>
      <c r="E258" s="45">
        <f t="shared" ref="E258:E321" si="35">($T$1*D259) + ((1-$T$1)*E259)</f>
        <v>7.0556051318165656</v>
      </c>
      <c r="F258" s="45">
        <f t="shared" si="33"/>
        <v>4.1938533087298238E-3</v>
      </c>
    </row>
    <row r="259" spans="1:6" x14ac:dyDescent="0.2">
      <c r="A259" s="49">
        <v>38383</v>
      </c>
      <c r="B259" s="46">
        <v>519.69000000000005</v>
      </c>
      <c r="C259" s="45">
        <f t="shared" si="30"/>
        <v>16.708409021492759</v>
      </c>
      <c r="D259" s="45">
        <f t="shared" si="31"/>
        <v>6.9618370922886497</v>
      </c>
      <c r="E259" s="45">
        <f t="shared" si="35"/>
        <v>7.0790471416985437</v>
      </c>
      <c r="F259" s="45">
        <f t="shared" si="33"/>
        <v>1.6836080456367315E-2</v>
      </c>
    </row>
    <row r="260" spans="1:6" x14ac:dyDescent="0.2">
      <c r="A260" s="49">
        <v>38352</v>
      </c>
      <c r="B260" s="46">
        <v>538.82000000000005</v>
      </c>
      <c r="C260" s="45">
        <f t="shared" si="30"/>
        <v>17.323452344591445</v>
      </c>
      <c r="D260" s="45">
        <f t="shared" si="31"/>
        <v>7.2181051435797681</v>
      </c>
      <c r="E260" s="45">
        <f t="shared" si="35"/>
        <v>7.0442826412282376</v>
      </c>
      <c r="F260" s="45">
        <f t="shared" si="33"/>
        <v>2.408145890007422E-2</v>
      </c>
    </row>
    <row r="261" spans="1:6" x14ac:dyDescent="0.2">
      <c r="A261" s="49">
        <v>38321</v>
      </c>
      <c r="B261" s="46">
        <v>525.47</v>
      </c>
      <c r="C261" s="45">
        <f t="shared" si="30"/>
        <v>16.89424019804845</v>
      </c>
      <c r="D261" s="45">
        <f t="shared" si="31"/>
        <v>7.0392667491868544</v>
      </c>
      <c r="E261" s="45">
        <f t="shared" si="35"/>
        <v>7.0455366142385829</v>
      </c>
      <c r="F261" s="45">
        <f t="shared" si="33"/>
        <v>8.9069860187537559E-4</v>
      </c>
    </row>
    <row r="262" spans="1:6" x14ac:dyDescent="0.2">
      <c r="A262" s="49">
        <v>38289</v>
      </c>
      <c r="B262" s="46">
        <v>524.30999999999995</v>
      </c>
      <c r="C262" s="45">
        <f t="shared" si="30"/>
        <v>16.856945359846961</v>
      </c>
      <c r="D262" s="45">
        <f t="shared" si="31"/>
        <v>7.0237272332695664</v>
      </c>
      <c r="E262" s="45">
        <f t="shared" si="35"/>
        <v>7.0509889594808373</v>
      </c>
      <c r="F262" s="45">
        <f t="shared" si="33"/>
        <v>3.8813759854083143E-3</v>
      </c>
    </row>
    <row r="263" spans="1:6" x14ac:dyDescent="0.2">
      <c r="A263" s="49">
        <v>38260</v>
      </c>
      <c r="B263" s="46">
        <v>521.82000000000005</v>
      </c>
      <c r="C263" s="45">
        <f t="shared" si="30"/>
        <v>16.776890060604114</v>
      </c>
      <c r="D263" s="45">
        <f t="shared" si="31"/>
        <v>6.9903708585850479</v>
      </c>
      <c r="E263" s="45">
        <f t="shared" si="35"/>
        <v>7.0661434847047842</v>
      </c>
      <c r="F263" s="45">
        <f t="shared" si="33"/>
        <v>1.0839571698356745E-2</v>
      </c>
    </row>
    <row r="264" spans="1:6" x14ac:dyDescent="0.2">
      <c r="A264" s="49">
        <v>38230</v>
      </c>
      <c r="B264" s="46">
        <v>525.41999999999996</v>
      </c>
      <c r="C264" s="45">
        <f t="shared" si="30"/>
        <v>16.892632661919077</v>
      </c>
      <c r="D264" s="45">
        <f t="shared" si="31"/>
        <v>7.038596942466282</v>
      </c>
      <c r="E264" s="45">
        <f t="shared" si="35"/>
        <v>7.0730301202644092</v>
      </c>
      <c r="F264" s="45">
        <f t="shared" si="33"/>
        <v>4.8920513675644699E-3</v>
      </c>
    </row>
    <row r="265" spans="1:6" x14ac:dyDescent="0.2">
      <c r="A265" s="49">
        <v>38198</v>
      </c>
      <c r="B265" s="46">
        <v>526.25</v>
      </c>
      <c r="C265" s="45">
        <f t="shared" si="30"/>
        <v>16.919317761666694</v>
      </c>
      <c r="D265" s="45">
        <f t="shared" si="31"/>
        <v>7.0497157340277896</v>
      </c>
      <c r="E265" s="45">
        <f t="shared" si="35"/>
        <v>7.0788587168235635</v>
      </c>
      <c r="F265" s="45">
        <f t="shared" si="33"/>
        <v>4.1339231105597084E-3</v>
      </c>
    </row>
    <row r="266" spans="1:6" x14ac:dyDescent="0.2">
      <c r="A266" s="49">
        <v>38168</v>
      </c>
      <c r="B266" s="46">
        <v>532.75</v>
      </c>
      <c r="C266" s="45">
        <f t="shared" si="30"/>
        <v>17.128297458485378</v>
      </c>
      <c r="D266" s="45">
        <f t="shared" si="31"/>
        <v>7.1367906077022401</v>
      </c>
      <c r="E266" s="45">
        <f t="shared" si="35"/>
        <v>7.0643757441038941</v>
      </c>
      <c r="F266" s="45">
        <f t="shared" si="33"/>
        <v>1.0146698646334617E-2</v>
      </c>
    </row>
    <row r="267" spans="1:6" x14ac:dyDescent="0.2">
      <c r="A267" s="49">
        <v>38138</v>
      </c>
      <c r="B267" s="46">
        <v>528.84</v>
      </c>
      <c r="C267" s="45">
        <f t="shared" si="30"/>
        <v>17.002588133168295</v>
      </c>
      <c r="D267" s="45">
        <f t="shared" si="31"/>
        <v>7.0844117221534564</v>
      </c>
      <c r="E267" s="45">
        <f t="shared" si="35"/>
        <v>7.0593667495915033</v>
      </c>
      <c r="F267" s="45">
        <f t="shared" si="33"/>
        <v>3.5352226189276433E-3</v>
      </c>
    </row>
    <row r="268" spans="1:6" x14ac:dyDescent="0.2">
      <c r="A268" s="49">
        <v>38107</v>
      </c>
      <c r="B268" s="46">
        <v>541.1</v>
      </c>
      <c r="C268" s="45">
        <f t="shared" si="30"/>
        <v>17.396755992090924</v>
      </c>
      <c r="D268" s="45">
        <f t="shared" si="31"/>
        <v>7.2486483300378843</v>
      </c>
      <c r="E268" s="45">
        <f t="shared" si="35"/>
        <v>7.0120463544799074</v>
      </c>
      <c r="F268" s="45">
        <f t="shared" si="33"/>
        <v>3.2640840717505233E-2</v>
      </c>
    </row>
    <row r="269" spans="1:6" x14ac:dyDescent="0.2">
      <c r="A269" s="49">
        <v>38077</v>
      </c>
      <c r="B269" s="46">
        <v>539.83000000000004</v>
      </c>
      <c r="C269" s="45">
        <f t="shared" si="30"/>
        <v>17.35592457440481</v>
      </c>
      <c r="D269" s="45">
        <f t="shared" si="31"/>
        <v>7.231635239335338</v>
      </c>
      <c r="E269" s="45">
        <f t="shared" si="35"/>
        <v>6.9571491332660491</v>
      </c>
      <c r="F269" s="45">
        <f t="shared" si="33"/>
        <v>3.7956298538989505E-2</v>
      </c>
    </row>
    <row r="270" spans="1:6" x14ac:dyDescent="0.2">
      <c r="A270" s="49">
        <v>38044</v>
      </c>
      <c r="B270" s="46">
        <v>538.20000000000005</v>
      </c>
      <c r="C270" s="45">
        <f t="shared" ref="C270:C333" si="36">B270/(31.1035)</f>
        <v>17.303518896587203</v>
      </c>
      <c r="D270" s="45">
        <f t="shared" ref="D270:D333" si="37">(C270/24)*10</f>
        <v>7.209799540244668</v>
      </c>
      <c r="E270" s="45">
        <f t="shared" si="35"/>
        <v>6.893986531521394</v>
      </c>
      <c r="F270" s="45">
        <f t="shared" si="33"/>
        <v>4.3803299517611381E-2</v>
      </c>
    </row>
    <row r="271" spans="1:6" x14ac:dyDescent="0.2">
      <c r="A271" s="49">
        <v>38016</v>
      </c>
      <c r="B271" s="46">
        <v>536.41</v>
      </c>
      <c r="C271" s="45">
        <f t="shared" si="36"/>
        <v>17.245969103155591</v>
      </c>
      <c r="D271" s="45">
        <f t="shared" si="37"/>
        <v>7.1858204596481636</v>
      </c>
      <c r="E271" s="45">
        <f t="shared" si="35"/>
        <v>6.8210280494897004</v>
      </c>
      <c r="F271" s="45">
        <f t="shared" ref="F271:F334" si="38">ABS((D271-E271)/D271)</f>
        <v>5.0765589288926431E-2</v>
      </c>
    </row>
    <row r="272" spans="1:6" x14ac:dyDescent="0.2">
      <c r="A272" s="49">
        <v>37986</v>
      </c>
      <c r="B272" s="46">
        <v>534.76</v>
      </c>
      <c r="C272" s="45">
        <f t="shared" si="36"/>
        <v>17.192920410886234</v>
      </c>
      <c r="D272" s="45">
        <f t="shared" si="37"/>
        <v>7.1637168378692637</v>
      </c>
      <c r="E272" s="45">
        <f t="shared" si="35"/>
        <v>6.7353558523948092</v>
      </c>
      <c r="F272" s="45">
        <f t="shared" si="38"/>
        <v>5.9795912536635645E-2</v>
      </c>
    </row>
    <row r="273" spans="1:6" x14ac:dyDescent="0.2">
      <c r="A273" s="49">
        <v>37953</v>
      </c>
      <c r="B273" s="46">
        <v>511.73</v>
      </c>
      <c r="C273" s="45">
        <f t="shared" si="36"/>
        <v>16.452489269696336</v>
      </c>
      <c r="D273" s="45">
        <f t="shared" si="37"/>
        <v>6.8552038623734735</v>
      </c>
      <c r="E273" s="45">
        <f t="shared" si="35"/>
        <v>6.7053938499001422</v>
      </c>
      <c r="F273" s="45">
        <f t="shared" si="38"/>
        <v>2.1853472993794035E-2</v>
      </c>
    </row>
    <row r="274" spans="1:6" x14ac:dyDescent="0.2">
      <c r="A274" s="49">
        <v>37925</v>
      </c>
      <c r="B274" s="46">
        <v>501.18</v>
      </c>
      <c r="C274" s="45">
        <f t="shared" si="36"/>
        <v>16.113299146398315</v>
      </c>
      <c r="D274" s="45">
        <f t="shared" si="37"/>
        <v>6.7138746443326314</v>
      </c>
      <c r="E274" s="45">
        <f t="shared" si="35"/>
        <v>6.7032736512920197</v>
      </c>
      <c r="F274" s="45">
        <f t="shared" si="38"/>
        <v>1.5789679733684448E-3</v>
      </c>
    </row>
    <row r="275" spans="1:6" x14ac:dyDescent="0.2">
      <c r="A275" s="49">
        <v>37894</v>
      </c>
      <c r="B275" s="46">
        <v>516.67999999999995</v>
      </c>
      <c r="C275" s="45">
        <f t="shared" si="36"/>
        <v>16.611635346504411</v>
      </c>
      <c r="D275" s="45">
        <f t="shared" si="37"/>
        <v>6.9215147277101705</v>
      </c>
      <c r="E275" s="45">
        <f t="shared" si="35"/>
        <v>6.6487133821874815</v>
      </c>
      <c r="F275" s="45">
        <f t="shared" si="38"/>
        <v>3.9413532478740999E-2</v>
      </c>
    </row>
    <row r="276" spans="1:6" x14ac:dyDescent="0.2">
      <c r="A276" s="49">
        <v>37862</v>
      </c>
      <c r="B276" s="46">
        <v>502.25</v>
      </c>
      <c r="C276" s="45">
        <f t="shared" si="36"/>
        <v>16.147700419566931</v>
      </c>
      <c r="D276" s="45">
        <f t="shared" si="37"/>
        <v>6.7282085081528873</v>
      </c>
      <c r="E276" s="45">
        <f t="shared" si="35"/>
        <v>6.6288396006961294</v>
      </c>
      <c r="F276" s="45">
        <f t="shared" si="38"/>
        <v>1.4768999405465492E-2</v>
      </c>
    </row>
    <row r="277" spans="1:6" x14ac:dyDescent="0.2">
      <c r="A277" s="49">
        <v>37833</v>
      </c>
      <c r="B277" s="46">
        <v>484.51</v>
      </c>
      <c r="C277" s="45">
        <f t="shared" si="36"/>
        <v>15.577346600864853</v>
      </c>
      <c r="D277" s="45">
        <f t="shared" si="37"/>
        <v>6.4905610836936889</v>
      </c>
      <c r="E277" s="45">
        <f t="shared" si="35"/>
        <v>6.6634092299467396</v>
      </c>
      <c r="F277" s="45">
        <f t="shared" si="38"/>
        <v>2.6630694022324056E-2</v>
      </c>
    </row>
    <row r="278" spans="1:6" x14ac:dyDescent="0.2">
      <c r="A278" s="49">
        <v>37802</v>
      </c>
      <c r="B278" s="46">
        <v>481.75</v>
      </c>
      <c r="C278" s="45">
        <f t="shared" si="36"/>
        <v>15.488610606523382</v>
      </c>
      <c r="D278" s="45">
        <f t="shared" si="37"/>
        <v>6.4535877527180761</v>
      </c>
      <c r="E278" s="45">
        <f t="shared" si="35"/>
        <v>6.715864599253905</v>
      </c>
      <c r="F278" s="45">
        <f t="shared" si="38"/>
        <v>4.0640471096928227E-2</v>
      </c>
    </row>
    <row r="279" spans="1:6" x14ac:dyDescent="0.2">
      <c r="A279" s="49">
        <v>37771</v>
      </c>
      <c r="B279" s="46">
        <v>491.58</v>
      </c>
      <c r="C279" s="45">
        <f t="shared" si="36"/>
        <v>15.804652209558409</v>
      </c>
      <c r="D279" s="45">
        <f t="shared" si="37"/>
        <v>6.5852717539826697</v>
      </c>
      <c r="E279" s="45">
        <f t="shared" si="35"/>
        <v>6.7485128105717136</v>
      </c>
      <c r="F279" s="45">
        <f t="shared" si="38"/>
        <v>2.4788810953825589E-2</v>
      </c>
    </row>
    <row r="280" spans="1:6" x14ac:dyDescent="0.2">
      <c r="A280" s="49">
        <v>37741</v>
      </c>
      <c r="B280" s="46">
        <v>478.55</v>
      </c>
      <c r="C280" s="45">
        <f t="shared" si="36"/>
        <v>15.385728294243414</v>
      </c>
      <c r="D280" s="45">
        <f t="shared" si="37"/>
        <v>6.4107201226014219</v>
      </c>
      <c r="E280" s="45">
        <f t="shared" si="35"/>
        <v>6.8329609825642859</v>
      </c>
      <c r="F280" s="45">
        <f t="shared" si="38"/>
        <v>6.5864809551461415E-2</v>
      </c>
    </row>
    <row r="281" spans="1:6" x14ac:dyDescent="0.2">
      <c r="A281" s="49">
        <v>37711</v>
      </c>
      <c r="B281" s="46">
        <v>502.66</v>
      </c>
      <c r="C281" s="45">
        <f t="shared" si="36"/>
        <v>16.160882215827801</v>
      </c>
      <c r="D281" s="45">
        <f t="shared" si="37"/>
        <v>6.7337009232615843</v>
      </c>
      <c r="E281" s="45">
        <f t="shared" si="35"/>
        <v>6.8577759973899601</v>
      </c>
      <c r="F281" s="45">
        <f t="shared" si="38"/>
        <v>1.8425985285410913E-2</v>
      </c>
    </row>
    <row r="282" spans="1:6" x14ac:dyDescent="0.2">
      <c r="A282" s="49">
        <v>37680</v>
      </c>
      <c r="B282" s="46">
        <v>542.86</v>
      </c>
      <c r="C282" s="45">
        <f t="shared" si="36"/>
        <v>17.453341263844905</v>
      </c>
      <c r="D282" s="45">
        <f t="shared" si="37"/>
        <v>7.2722255266020444</v>
      </c>
      <c r="E282" s="45">
        <f t="shared" si="35"/>
        <v>6.7541636150869389</v>
      </c>
      <c r="F282" s="45">
        <f t="shared" si="38"/>
        <v>7.1238427579015218E-2</v>
      </c>
    </row>
    <row r="283" spans="1:6" x14ac:dyDescent="0.2">
      <c r="A283" s="49">
        <v>37652</v>
      </c>
      <c r="B283" s="46">
        <v>549.6</v>
      </c>
      <c r="C283" s="45">
        <f t="shared" si="36"/>
        <v>17.670037134084588</v>
      </c>
      <c r="D283" s="45">
        <f t="shared" si="37"/>
        <v>7.3625154725352449</v>
      </c>
      <c r="E283" s="45">
        <f t="shared" si="35"/>
        <v>6.6020756507248617</v>
      </c>
      <c r="F283" s="45">
        <f t="shared" si="38"/>
        <v>0.10328532750078277</v>
      </c>
    </row>
    <row r="284" spans="1:6" x14ac:dyDescent="0.2">
      <c r="A284" s="49">
        <v>37621</v>
      </c>
      <c r="B284" s="46">
        <v>517.38</v>
      </c>
      <c r="C284" s="45">
        <f t="shared" si="36"/>
        <v>16.634140852315657</v>
      </c>
      <c r="D284" s="45">
        <f t="shared" si="37"/>
        <v>6.9308920217981909</v>
      </c>
      <c r="E284" s="45">
        <f t="shared" si="35"/>
        <v>6.5198715579565292</v>
      </c>
      <c r="F284" s="45">
        <f t="shared" si="38"/>
        <v>5.9302678868603145E-2</v>
      </c>
    </row>
    <row r="285" spans="1:6" x14ac:dyDescent="0.2">
      <c r="A285" s="49">
        <v>37589</v>
      </c>
      <c r="B285" s="46">
        <v>501.47</v>
      </c>
      <c r="C285" s="45">
        <f t="shared" si="36"/>
        <v>16.122622855948688</v>
      </c>
      <c r="D285" s="45">
        <f t="shared" si="37"/>
        <v>6.7177595233119538</v>
      </c>
      <c r="E285" s="45">
        <f t="shared" si="35"/>
        <v>6.4703995666176723</v>
      </c>
      <c r="F285" s="45">
        <f t="shared" si="38"/>
        <v>3.6821793908503792E-2</v>
      </c>
    </row>
    <row r="286" spans="1:6" x14ac:dyDescent="0.2">
      <c r="A286" s="49">
        <v>37560</v>
      </c>
      <c r="B286" s="46">
        <v>499.5</v>
      </c>
      <c r="C286" s="45">
        <f t="shared" si="36"/>
        <v>16.059285932451331</v>
      </c>
      <c r="D286" s="45">
        <f t="shared" si="37"/>
        <v>6.691369138521388</v>
      </c>
      <c r="E286" s="45">
        <f t="shared" si="35"/>
        <v>6.4151571736417434</v>
      </c>
      <c r="F286" s="45">
        <f t="shared" si="38"/>
        <v>4.1278841319562887E-2</v>
      </c>
    </row>
    <row r="287" spans="1:6" x14ac:dyDescent="0.2">
      <c r="A287" s="49">
        <v>37529</v>
      </c>
      <c r="B287" s="46">
        <v>502.52</v>
      </c>
      <c r="C287" s="45">
        <f t="shared" si="36"/>
        <v>16.15638111466555</v>
      </c>
      <c r="D287" s="45">
        <f t="shared" si="37"/>
        <v>6.731825464443979</v>
      </c>
      <c r="E287" s="45">
        <f t="shared" si="35"/>
        <v>6.3359901009411841</v>
      </c>
      <c r="F287" s="45">
        <f t="shared" si="38"/>
        <v>5.8800598083463426E-2</v>
      </c>
    </row>
    <row r="288" spans="1:6" x14ac:dyDescent="0.2">
      <c r="A288" s="49">
        <v>37498</v>
      </c>
      <c r="B288" s="46">
        <v>487</v>
      </c>
      <c r="C288" s="45">
        <f t="shared" si="36"/>
        <v>15.657401900107704</v>
      </c>
      <c r="D288" s="45">
        <f t="shared" si="37"/>
        <v>6.52391745837821</v>
      </c>
      <c r="E288" s="45">
        <f t="shared" si="35"/>
        <v>6.2890082615819267</v>
      </c>
      <c r="F288" s="45">
        <f t="shared" si="38"/>
        <v>3.6007383339071206E-2</v>
      </c>
    </row>
    <row r="289" spans="1:6" x14ac:dyDescent="0.2">
      <c r="A289" s="49">
        <v>37468</v>
      </c>
      <c r="B289" s="46">
        <v>484.13</v>
      </c>
      <c r="C289" s="45">
        <f t="shared" si="36"/>
        <v>15.565129326281609</v>
      </c>
      <c r="D289" s="45">
        <f t="shared" si="37"/>
        <v>6.4854705526173371</v>
      </c>
      <c r="E289" s="45">
        <f t="shared" si="35"/>
        <v>6.2398926888230744</v>
      </c>
      <c r="F289" s="45">
        <f t="shared" si="38"/>
        <v>3.786585133674765E-2</v>
      </c>
    </row>
    <row r="290" spans="1:6" x14ac:dyDescent="0.2">
      <c r="A290" s="49">
        <v>37435</v>
      </c>
      <c r="B290" s="46">
        <v>492.05</v>
      </c>
      <c r="C290" s="45">
        <f t="shared" si="36"/>
        <v>15.819763049174531</v>
      </c>
      <c r="D290" s="45">
        <f t="shared" si="37"/>
        <v>6.5915679371560545</v>
      </c>
      <c r="E290" s="45">
        <f t="shared" si="35"/>
        <v>6.1519738767398291</v>
      </c>
      <c r="F290" s="45">
        <f t="shared" si="38"/>
        <v>6.6690363295548338E-2</v>
      </c>
    </row>
    <row r="291" spans="1:6" x14ac:dyDescent="0.2">
      <c r="A291" s="49">
        <v>37407</v>
      </c>
      <c r="B291" s="46">
        <v>486.84</v>
      </c>
      <c r="C291" s="45">
        <f t="shared" si="36"/>
        <v>15.652257784493706</v>
      </c>
      <c r="D291" s="45">
        <f t="shared" si="37"/>
        <v>6.5217740768723775</v>
      </c>
      <c r="E291" s="45">
        <f t="shared" si="35"/>
        <v>6.0595238267066911</v>
      </c>
      <c r="F291" s="45">
        <f t="shared" si="38"/>
        <v>7.0877991895629419E-2</v>
      </c>
    </row>
    <row r="292" spans="1:6" x14ac:dyDescent="0.2">
      <c r="A292" s="49">
        <v>37376</v>
      </c>
      <c r="B292" s="46">
        <v>478.38</v>
      </c>
      <c r="C292" s="45">
        <f t="shared" si="36"/>
        <v>15.380262671403539</v>
      </c>
      <c r="D292" s="45">
        <f t="shared" si="37"/>
        <v>6.408442779751474</v>
      </c>
      <c r="E292" s="45">
        <f t="shared" si="35"/>
        <v>5.9722940884454951</v>
      </c>
      <c r="F292" s="45">
        <f t="shared" si="38"/>
        <v>6.8058451373563353E-2</v>
      </c>
    </row>
    <row r="293" spans="1:6" x14ac:dyDescent="0.2">
      <c r="A293" s="49">
        <v>37344</v>
      </c>
      <c r="B293" s="46">
        <v>466.7</v>
      </c>
      <c r="C293" s="45">
        <f t="shared" si="36"/>
        <v>15.004742231581654</v>
      </c>
      <c r="D293" s="45">
        <f t="shared" si="37"/>
        <v>6.2519759298256892</v>
      </c>
      <c r="E293" s="45">
        <f t="shared" si="35"/>
        <v>5.9023736281004462</v>
      </c>
      <c r="F293" s="45">
        <f t="shared" si="38"/>
        <v>5.5918689650967711E-2</v>
      </c>
    </row>
    <row r="294" spans="1:6" x14ac:dyDescent="0.2">
      <c r="A294" s="49">
        <v>37315</v>
      </c>
      <c r="B294" s="46">
        <v>471.62</v>
      </c>
      <c r="C294" s="45">
        <f t="shared" si="36"/>
        <v>15.162923786712106</v>
      </c>
      <c r="D294" s="45">
        <f t="shared" si="37"/>
        <v>6.3178849111300437</v>
      </c>
      <c r="E294" s="45">
        <f t="shared" si="35"/>
        <v>5.7984958073430466</v>
      </c>
      <c r="F294" s="45">
        <f t="shared" si="38"/>
        <v>8.2209332884808278E-2</v>
      </c>
    </row>
    <row r="295" spans="1:6" x14ac:dyDescent="0.2">
      <c r="A295" s="49">
        <v>37287</v>
      </c>
      <c r="B295" s="46">
        <v>450.43</v>
      </c>
      <c r="C295" s="45">
        <f t="shared" si="36"/>
        <v>14.48164997508319</v>
      </c>
      <c r="D295" s="45">
        <f t="shared" si="37"/>
        <v>6.0340208229513292</v>
      </c>
      <c r="E295" s="45">
        <f t="shared" si="35"/>
        <v>5.7396145534409762</v>
      </c>
      <c r="F295" s="45">
        <f t="shared" si="38"/>
        <v>4.8791059585100105E-2</v>
      </c>
    </row>
    <row r="296" spans="1:6" x14ac:dyDescent="0.2">
      <c r="A296" s="49">
        <v>37256</v>
      </c>
      <c r="B296" s="46">
        <v>434.55</v>
      </c>
      <c r="C296" s="45">
        <f t="shared" si="36"/>
        <v>13.971096500393847</v>
      </c>
      <c r="D296" s="45">
        <f t="shared" si="37"/>
        <v>5.8212902084974356</v>
      </c>
      <c r="E296" s="45">
        <f t="shared" si="35"/>
        <v>5.7191956396768608</v>
      </c>
      <c r="F296" s="45">
        <f t="shared" si="38"/>
        <v>1.75381341874256E-2</v>
      </c>
    </row>
    <row r="297" spans="1:6" x14ac:dyDescent="0.2">
      <c r="A297" s="49">
        <v>37225</v>
      </c>
      <c r="B297" s="46">
        <v>440</v>
      </c>
      <c r="C297" s="45">
        <f t="shared" si="36"/>
        <v>14.146317938495667</v>
      </c>
      <c r="D297" s="45">
        <f t="shared" si="37"/>
        <v>5.8942991410398617</v>
      </c>
      <c r="E297" s="45">
        <f t="shared" si="35"/>
        <v>5.6754197643361097</v>
      </c>
      <c r="F297" s="45">
        <f t="shared" si="38"/>
        <v>3.713408014530082E-2</v>
      </c>
    </row>
    <row r="298" spans="1:6" x14ac:dyDescent="0.2">
      <c r="A298" s="49">
        <v>37195</v>
      </c>
      <c r="B298" s="46">
        <v>444.64</v>
      </c>
      <c r="C298" s="45">
        <f t="shared" si="36"/>
        <v>14.295497291301622</v>
      </c>
      <c r="D298" s="45">
        <f t="shared" si="37"/>
        <v>5.9564572047090092</v>
      </c>
      <c r="E298" s="45">
        <f t="shared" si="35"/>
        <v>5.6051604042428842</v>
      </c>
      <c r="F298" s="45">
        <f t="shared" si="38"/>
        <v>5.8977474091209708E-2</v>
      </c>
    </row>
    <row r="299" spans="1:6" x14ac:dyDescent="0.2">
      <c r="A299" s="49">
        <v>37162</v>
      </c>
      <c r="B299" s="46">
        <v>444.16</v>
      </c>
      <c r="C299" s="45">
        <f t="shared" si="36"/>
        <v>14.280064944459628</v>
      </c>
      <c r="D299" s="45">
        <f t="shared" si="37"/>
        <v>5.9500270601915117</v>
      </c>
      <c r="E299" s="45">
        <f t="shared" si="35"/>
        <v>5.5189437402557271</v>
      </c>
      <c r="F299" s="45">
        <f t="shared" si="38"/>
        <v>7.2450648639891979E-2</v>
      </c>
    </row>
    <row r="300" spans="1:6" x14ac:dyDescent="0.2">
      <c r="A300" s="49">
        <v>37134</v>
      </c>
      <c r="B300" s="46">
        <v>419.54</v>
      </c>
      <c r="C300" s="45">
        <f t="shared" si="36"/>
        <v>13.48851415435562</v>
      </c>
      <c r="D300" s="45">
        <f t="shared" si="37"/>
        <v>5.6202142309815084</v>
      </c>
      <c r="E300" s="45">
        <f t="shared" si="35"/>
        <v>5.4936261175742818</v>
      </c>
      <c r="F300" s="45">
        <f t="shared" si="38"/>
        <v>2.2523716748982257E-2</v>
      </c>
    </row>
    <row r="301" spans="1:6" x14ac:dyDescent="0.2">
      <c r="A301" s="49">
        <v>37103</v>
      </c>
      <c r="B301" s="46">
        <v>409.19</v>
      </c>
      <c r="C301" s="45">
        <f t="shared" si="36"/>
        <v>13.155754175575096</v>
      </c>
      <c r="D301" s="45">
        <f t="shared" si="37"/>
        <v>5.4815642398229567</v>
      </c>
      <c r="E301" s="45">
        <f t="shared" si="35"/>
        <v>5.496641587012113</v>
      </c>
      <c r="F301" s="45">
        <f t="shared" si="38"/>
        <v>2.7505555949925869E-3</v>
      </c>
    </row>
    <row r="302" spans="1:6" x14ac:dyDescent="0.2">
      <c r="A302" s="49">
        <v>37071</v>
      </c>
      <c r="B302" s="46">
        <v>412</v>
      </c>
      <c r="C302" s="45">
        <f t="shared" si="36"/>
        <v>13.246097706045942</v>
      </c>
      <c r="D302" s="45">
        <f t="shared" si="37"/>
        <v>5.5192073775191428</v>
      </c>
      <c r="E302" s="45">
        <f t="shared" si="35"/>
        <v>5.4910001393853554</v>
      </c>
      <c r="F302" s="45">
        <f t="shared" si="38"/>
        <v>5.11074076482092E-3</v>
      </c>
    </row>
    <row r="303" spans="1:6" x14ac:dyDescent="0.2">
      <c r="A303" s="49">
        <v>37042</v>
      </c>
      <c r="B303" s="46">
        <v>419.76</v>
      </c>
      <c r="C303" s="45">
        <f t="shared" si="36"/>
        <v>13.495587313324867</v>
      </c>
      <c r="D303" s="45">
        <f t="shared" si="37"/>
        <v>5.6231613805520277</v>
      </c>
      <c r="E303" s="45">
        <f t="shared" si="35"/>
        <v>5.4579598290936868</v>
      </c>
      <c r="F303" s="45">
        <f t="shared" si="38"/>
        <v>2.9378767614548353E-2</v>
      </c>
    </row>
    <row r="304" spans="1:6" x14ac:dyDescent="0.2">
      <c r="A304" s="49">
        <v>37011</v>
      </c>
      <c r="B304" s="46">
        <v>405.55</v>
      </c>
      <c r="C304" s="45">
        <f t="shared" si="36"/>
        <v>13.038725545356632</v>
      </c>
      <c r="D304" s="45">
        <f t="shared" si="37"/>
        <v>5.432802310565263</v>
      </c>
      <c r="E304" s="45">
        <f t="shared" si="35"/>
        <v>5.4642492087257928</v>
      </c>
      <c r="F304" s="45">
        <f t="shared" si="38"/>
        <v>5.7883383865034981E-3</v>
      </c>
    </row>
    <row r="305" spans="1:6" x14ac:dyDescent="0.2">
      <c r="A305" s="49">
        <v>36980</v>
      </c>
      <c r="B305" s="46">
        <v>409.85</v>
      </c>
      <c r="C305" s="45">
        <f t="shared" si="36"/>
        <v>13.17697365248284</v>
      </c>
      <c r="D305" s="45">
        <f t="shared" si="37"/>
        <v>5.4904056885345165</v>
      </c>
      <c r="E305" s="45">
        <f t="shared" si="35"/>
        <v>5.4577100887736112</v>
      </c>
      <c r="F305" s="45">
        <f t="shared" si="38"/>
        <v>5.9550425989800251E-3</v>
      </c>
    </row>
    <row r="306" spans="1:6" x14ac:dyDescent="0.2">
      <c r="A306" s="49">
        <v>36950</v>
      </c>
      <c r="B306" s="46">
        <v>398.66</v>
      </c>
      <c r="C306" s="45">
        <f t="shared" si="36"/>
        <v>12.817207066728825</v>
      </c>
      <c r="D306" s="45">
        <f t="shared" si="37"/>
        <v>5.3405029444703436</v>
      </c>
      <c r="E306" s="45">
        <f t="shared" si="35"/>
        <v>5.4870118748494274</v>
      </c>
      <c r="F306" s="45">
        <f t="shared" si="38"/>
        <v>2.7433545473611608E-2</v>
      </c>
    </row>
    <row r="307" spans="1:6" x14ac:dyDescent="0.2">
      <c r="A307" s="49">
        <v>36922</v>
      </c>
      <c r="B307" s="46">
        <v>398.94</v>
      </c>
      <c r="C307" s="45">
        <f t="shared" si="36"/>
        <v>12.826209269053322</v>
      </c>
      <c r="D307" s="45">
        <f t="shared" si="37"/>
        <v>5.3442538621055515</v>
      </c>
      <c r="E307" s="45">
        <f t="shared" si="35"/>
        <v>5.5227013780353955</v>
      </c>
      <c r="F307" s="45">
        <f t="shared" si="38"/>
        <v>3.339053879815853E-2</v>
      </c>
    </row>
    <row r="308" spans="1:6" x14ac:dyDescent="0.2">
      <c r="A308" s="49">
        <v>36889</v>
      </c>
      <c r="B308" s="46">
        <v>413.72</v>
      </c>
      <c r="C308" s="45">
        <f t="shared" si="36"/>
        <v>13.301396948896427</v>
      </c>
      <c r="D308" s="45">
        <f t="shared" si="37"/>
        <v>5.5422487287068449</v>
      </c>
      <c r="E308" s="45">
        <f t="shared" si="35"/>
        <v>5.5178145403675325</v>
      </c>
      <c r="F308" s="45">
        <f t="shared" si="38"/>
        <v>4.4087137794361648E-3</v>
      </c>
    </row>
    <row r="309" spans="1:6" x14ac:dyDescent="0.2">
      <c r="A309" s="49">
        <v>36860</v>
      </c>
      <c r="B309" s="46">
        <v>410.24</v>
      </c>
      <c r="C309" s="45">
        <f t="shared" si="36"/>
        <v>13.189512434291961</v>
      </c>
      <c r="D309" s="45">
        <f t="shared" si="37"/>
        <v>5.4956301809549837</v>
      </c>
      <c r="E309" s="45">
        <f t="shared" si="35"/>
        <v>5.5233606302206697</v>
      </c>
      <c r="F309" s="45">
        <f t="shared" si="38"/>
        <v>5.0459089044574794E-3</v>
      </c>
    </row>
    <row r="310" spans="1:6" x14ac:dyDescent="0.2">
      <c r="A310" s="49">
        <v>36830</v>
      </c>
      <c r="B310" s="46">
        <v>408.19</v>
      </c>
      <c r="C310" s="45">
        <f t="shared" si="36"/>
        <v>13.123603452987606</v>
      </c>
      <c r="D310" s="45">
        <f t="shared" si="37"/>
        <v>5.468168105411503</v>
      </c>
      <c r="E310" s="45">
        <f t="shared" si="35"/>
        <v>5.5371587614229609</v>
      </c>
      <c r="F310" s="45">
        <f t="shared" si="38"/>
        <v>1.2616776712329346E-2</v>
      </c>
    </row>
    <row r="311" spans="1:6" x14ac:dyDescent="0.2">
      <c r="A311" s="49">
        <v>36798</v>
      </c>
      <c r="B311" s="46">
        <v>406.51</v>
      </c>
      <c r="C311" s="45">
        <f t="shared" si="36"/>
        <v>13.069590239040622</v>
      </c>
      <c r="D311" s="45">
        <f t="shared" si="37"/>
        <v>5.4456625996002597</v>
      </c>
      <c r="E311" s="45">
        <f t="shared" si="35"/>
        <v>5.560032801878636</v>
      </c>
      <c r="F311" s="45">
        <f t="shared" si="38"/>
        <v>2.1002072784819928E-2</v>
      </c>
    </row>
    <row r="312" spans="1:6" x14ac:dyDescent="0.2">
      <c r="A312" s="49">
        <v>36769</v>
      </c>
      <c r="B312" s="46">
        <v>406.94</v>
      </c>
      <c r="C312" s="45">
        <f t="shared" si="36"/>
        <v>13.083415049753244</v>
      </c>
      <c r="D312" s="45">
        <f t="shared" si="37"/>
        <v>5.4514229373971848</v>
      </c>
      <c r="E312" s="45">
        <f t="shared" si="35"/>
        <v>5.5871852679989988</v>
      </c>
      <c r="F312" s="45">
        <f t="shared" si="38"/>
        <v>2.4904017200807142E-2</v>
      </c>
    </row>
    <row r="313" spans="1:6" x14ac:dyDescent="0.2">
      <c r="A313" s="49">
        <v>36738</v>
      </c>
      <c r="B313" s="46">
        <v>416.18</v>
      </c>
      <c r="C313" s="45">
        <f t="shared" si="36"/>
        <v>13.380487726461652</v>
      </c>
      <c r="D313" s="45">
        <f t="shared" si="37"/>
        <v>5.5752032193590217</v>
      </c>
      <c r="E313" s="45">
        <f t="shared" si="35"/>
        <v>5.5901807801589927</v>
      </c>
      <c r="F313" s="45">
        <f t="shared" si="38"/>
        <v>2.6864600644445902E-3</v>
      </c>
    </row>
    <row r="314" spans="1:6" x14ac:dyDescent="0.2">
      <c r="A314" s="49">
        <v>36707</v>
      </c>
      <c r="B314" s="46">
        <v>421.91</v>
      </c>
      <c r="C314" s="45">
        <f t="shared" si="36"/>
        <v>13.564711366887972</v>
      </c>
      <c r="D314" s="45">
        <f t="shared" si="37"/>
        <v>5.6519630695366549</v>
      </c>
      <c r="E314" s="45">
        <f t="shared" si="35"/>
        <v>5.5747352078145775</v>
      </c>
      <c r="F314" s="45">
        <f t="shared" si="38"/>
        <v>1.3663900625665006E-2</v>
      </c>
    </row>
    <row r="315" spans="1:6" x14ac:dyDescent="0.2">
      <c r="A315" s="49">
        <v>36677</v>
      </c>
      <c r="B315" s="46">
        <v>411.79</v>
      </c>
      <c r="C315" s="45">
        <f t="shared" si="36"/>
        <v>13.239346054302571</v>
      </c>
      <c r="D315" s="45">
        <f t="shared" si="37"/>
        <v>5.5163941892927379</v>
      </c>
      <c r="E315" s="45">
        <f t="shared" si="35"/>
        <v>5.5893204624450377</v>
      </c>
      <c r="F315" s="45">
        <f t="shared" si="38"/>
        <v>1.3219916969285631E-2</v>
      </c>
    </row>
    <row r="316" spans="1:6" x14ac:dyDescent="0.2">
      <c r="A316" s="49">
        <v>36644</v>
      </c>
      <c r="B316" s="46">
        <v>410.62</v>
      </c>
      <c r="C316" s="45">
        <f t="shared" si="36"/>
        <v>13.201729708875208</v>
      </c>
      <c r="D316" s="45">
        <f t="shared" si="37"/>
        <v>5.5007207120313364</v>
      </c>
      <c r="E316" s="45">
        <f t="shared" si="35"/>
        <v>5.6114704000484625</v>
      </c>
      <c r="F316" s="45">
        <f t="shared" si="38"/>
        <v>2.0133668625438701E-2</v>
      </c>
    </row>
    <row r="317" spans="1:6" x14ac:dyDescent="0.2">
      <c r="A317" s="49">
        <v>36616</v>
      </c>
      <c r="B317" s="46">
        <v>418.4</v>
      </c>
      <c r="C317" s="45">
        <f t="shared" si="36"/>
        <v>13.451862330605879</v>
      </c>
      <c r="D317" s="45">
        <f t="shared" si="37"/>
        <v>5.6049426377524494</v>
      </c>
      <c r="E317" s="45">
        <f t="shared" si="35"/>
        <v>5.6131023406224658</v>
      </c>
      <c r="F317" s="45">
        <f t="shared" si="38"/>
        <v>1.4558048846131338E-3</v>
      </c>
    </row>
    <row r="318" spans="1:6" x14ac:dyDescent="0.2">
      <c r="A318" s="49">
        <v>36585</v>
      </c>
      <c r="B318" s="46">
        <v>435.16</v>
      </c>
      <c r="C318" s="45">
        <f t="shared" si="36"/>
        <v>13.990708441172217</v>
      </c>
      <c r="D318" s="45">
        <f t="shared" si="37"/>
        <v>5.829461850488423</v>
      </c>
      <c r="E318" s="45">
        <f t="shared" si="35"/>
        <v>5.5590124631559767</v>
      </c>
      <c r="F318" s="45">
        <f t="shared" si="38"/>
        <v>4.6393542709227374E-2</v>
      </c>
    </row>
    <row r="319" spans="1:6" x14ac:dyDescent="0.2">
      <c r="A319" s="49">
        <v>36556</v>
      </c>
      <c r="B319" s="46">
        <v>411.94</v>
      </c>
      <c r="C319" s="45">
        <f t="shared" si="36"/>
        <v>13.244168662690694</v>
      </c>
      <c r="D319" s="45">
        <f t="shared" si="37"/>
        <v>5.5184036094544551</v>
      </c>
      <c r="E319" s="45">
        <f t="shared" si="35"/>
        <v>5.5691646765813569</v>
      </c>
      <c r="F319" s="45">
        <f t="shared" si="38"/>
        <v>9.1985057127635626E-3</v>
      </c>
    </row>
    <row r="320" spans="1:6" x14ac:dyDescent="0.2">
      <c r="A320" s="49">
        <v>36525</v>
      </c>
      <c r="B320" s="46">
        <v>417.41</v>
      </c>
      <c r="C320" s="45">
        <f t="shared" si="36"/>
        <v>13.420033115244266</v>
      </c>
      <c r="D320" s="45">
        <f t="shared" si="37"/>
        <v>5.5916804646851102</v>
      </c>
      <c r="E320" s="45">
        <f t="shared" si="35"/>
        <v>5.5635357295554186</v>
      </c>
      <c r="F320" s="45">
        <f t="shared" si="38"/>
        <v>5.0333232214256106E-3</v>
      </c>
    </row>
    <row r="321" spans="1:6" x14ac:dyDescent="0.2">
      <c r="A321" s="49">
        <v>36494</v>
      </c>
      <c r="B321" s="46">
        <v>430.39</v>
      </c>
      <c r="C321" s="45">
        <f t="shared" si="36"/>
        <v>13.837349494429887</v>
      </c>
      <c r="D321" s="45">
        <f t="shared" si="37"/>
        <v>5.7655622893457856</v>
      </c>
      <c r="E321" s="45">
        <f t="shared" si="35"/>
        <v>5.5130290896078273</v>
      </c>
      <c r="F321" s="45">
        <f t="shared" si="38"/>
        <v>4.3800272560512575E-2</v>
      </c>
    </row>
    <row r="322" spans="1:6" x14ac:dyDescent="0.2">
      <c r="A322" s="49">
        <v>36462</v>
      </c>
      <c r="B322" s="46">
        <v>458.9</v>
      </c>
      <c r="C322" s="45">
        <f t="shared" si="36"/>
        <v>14.75396659539923</v>
      </c>
      <c r="D322" s="45">
        <f t="shared" si="37"/>
        <v>6.1474860814163454</v>
      </c>
      <c r="E322" s="45">
        <f t="shared" ref="E322:E385" si="39">($T$1*D323) + ((1-$T$1)*E323)</f>
        <v>5.3544148416556974</v>
      </c>
      <c r="F322" s="45">
        <f t="shared" si="38"/>
        <v>0.12900740713477615</v>
      </c>
    </row>
    <row r="323" spans="1:6" x14ac:dyDescent="0.2">
      <c r="A323" s="49">
        <v>36433</v>
      </c>
      <c r="B323" s="46">
        <v>390.96</v>
      </c>
      <c r="C323" s="45">
        <f t="shared" si="36"/>
        <v>12.569646502805149</v>
      </c>
      <c r="D323" s="45">
        <f t="shared" si="37"/>
        <v>5.2373527095021455</v>
      </c>
      <c r="E323" s="45">
        <f t="shared" si="39"/>
        <v>5.3836803746940856</v>
      </c>
      <c r="F323" s="45">
        <f t="shared" si="38"/>
        <v>2.7939242076718898E-2</v>
      </c>
    </row>
    <row r="324" spans="1:6" x14ac:dyDescent="0.2">
      <c r="A324" s="49">
        <v>36403</v>
      </c>
      <c r="B324" s="46">
        <v>383.14</v>
      </c>
      <c r="C324" s="45">
        <f t="shared" si="36"/>
        <v>12.318227852170978</v>
      </c>
      <c r="D324" s="45">
        <f t="shared" si="37"/>
        <v>5.1325949384045746</v>
      </c>
      <c r="E324" s="45">
        <f t="shared" si="39"/>
        <v>5.4464517337664633</v>
      </c>
      <c r="F324" s="45">
        <f t="shared" si="38"/>
        <v>6.1149730132307796E-2</v>
      </c>
    </row>
    <row r="325" spans="1:6" x14ac:dyDescent="0.2">
      <c r="A325" s="49">
        <v>36371</v>
      </c>
      <c r="B325" s="46">
        <v>381.02</v>
      </c>
      <c r="C325" s="45">
        <f t="shared" si="36"/>
        <v>12.250068320285498</v>
      </c>
      <c r="D325" s="45">
        <f t="shared" si="37"/>
        <v>5.1041951334522908</v>
      </c>
      <c r="E325" s="45">
        <f t="shared" si="39"/>
        <v>5.5320158838450064</v>
      </c>
      <c r="F325" s="45">
        <f t="shared" si="38"/>
        <v>8.3817475470094993E-2</v>
      </c>
    </row>
    <row r="326" spans="1:6" x14ac:dyDescent="0.2">
      <c r="A326" s="49">
        <v>36341</v>
      </c>
      <c r="B326" s="46">
        <v>384.02</v>
      </c>
      <c r="C326" s="45">
        <f t="shared" si="36"/>
        <v>12.346520488047968</v>
      </c>
      <c r="D326" s="45">
        <f t="shared" si="37"/>
        <v>5.1443835366866528</v>
      </c>
      <c r="E326" s="45">
        <f t="shared" si="39"/>
        <v>5.6289239706345953</v>
      </c>
      <c r="F326" s="45">
        <f t="shared" si="38"/>
        <v>9.4188240533096171E-2</v>
      </c>
    </row>
    <row r="327" spans="1:6" x14ac:dyDescent="0.2">
      <c r="A327" s="49">
        <v>36311</v>
      </c>
      <c r="B327" s="46">
        <v>404.03</v>
      </c>
      <c r="C327" s="45">
        <f t="shared" si="36"/>
        <v>12.989856447023646</v>
      </c>
      <c r="D327" s="45">
        <f t="shared" si="37"/>
        <v>5.4124401862598521</v>
      </c>
      <c r="E327" s="45">
        <f t="shared" si="39"/>
        <v>5.6830449167282806</v>
      </c>
      <c r="F327" s="45">
        <f t="shared" si="38"/>
        <v>4.9996807568495998E-2</v>
      </c>
    </row>
    <row r="328" spans="1:6" x14ac:dyDescent="0.2">
      <c r="A328" s="49">
        <v>36280</v>
      </c>
      <c r="B328" s="46">
        <v>420.23</v>
      </c>
      <c r="C328" s="45">
        <f t="shared" si="36"/>
        <v>13.510698152940988</v>
      </c>
      <c r="D328" s="45">
        <f t="shared" si="37"/>
        <v>5.6294575637254116</v>
      </c>
      <c r="E328" s="45">
        <f t="shared" si="39"/>
        <v>5.6964417549789976</v>
      </c>
      <c r="F328" s="45">
        <f t="shared" si="38"/>
        <v>1.1898871338015348E-2</v>
      </c>
    </row>
    <row r="329" spans="1:6" x14ac:dyDescent="0.2">
      <c r="A329" s="49">
        <v>36250</v>
      </c>
      <c r="B329" s="46">
        <v>433.86</v>
      </c>
      <c r="C329" s="45">
        <f t="shared" si="36"/>
        <v>13.948912501808479</v>
      </c>
      <c r="D329" s="45">
        <f t="shared" si="37"/>
        <v>5.8120468757535324</v>
      </c>
      <c r="E329" s="45">
        <f t="shared" si="39"/>
        <v>5.6675404747853637</v>
      </c>
      <c r="F329" s="45">
        <f t="shared" si="38"/>
        <v>2.4863254556843784E-2</v>
      </c>
    </row>
    <row r="330" spans="1:6" x14ac:dyDescent="0.2">
      <c r="A330" s="49">
        <v>36217</v>
      </c>
      <c r="B330" s="46">
        <v>430.36</v>
      </c>
      <c r="C330" s="45">
        <f t="shared" si="36"/>
        <v>13.836384972752263</v>
      </c>
      <c r="D330" s="45">
        <f t="shared" si="37"/>
        <v>5.7651604053134431</v>
      </c>
      <c r="E330" s="45">
        <f t="shared" si="39"/>
        <v>5.6431354921533439</v>
      </c>
      <c r="F330" s="45">
        <f t="shared" si="38"/>
        <v>2.1165918132587485E-2</v>
      </c>
    </row>
    <row r="331" spans="1:6" x14ac:dyDescent="0.2">
      <c r="A331" s="49">
        <v>36189</v>
      </c>
      <c r="B331" s="46">
        <v>436.21</v>
      </c>
      <c r="C331" s="45">
        <f t="shared" si="36"/>
        <v>14.024466699889079</v>
      </c>
      <c r="D331" s="45">
        <f t="shared" si="37"/>
        <v>5.84352779162045</v>
      </c>
      <c r="E331" s="45">
        <f t="shared" si="39"/>
        <v>5.5930374172865669</v>
      </c>
      <c r="F331" s="45">
        <f t="shared" si="38"/>
        <v>4.2866292976835557E-2</v>
      </c>
    </row>
    <row r="332" spans="1:6" x14ac:dyDescent="0.2">
      <c r="A332" s="49">
        <v>36160</v>
      </c>
      <c r="B332" s="46">
        <v>430.03867000000002</v>
      </c>
      <c r="C332" s="45">
        <f t="shared" si="36"/>
        <v>13.826053981063225</v>
      </c>
      <c r="D332" s="45">
        <f t="shared" si="37"/>
        <v>5.7608558254430111</v>
      </c>
      <c r="E332" s="45">
        <f t="shared" si="39"/>
        <v>5.5510828152474554</v>
      </c>
      <c r="F332" s="45">
        <f t="shared" si="38"/>
        <v>3.6413515031757306E-2</v>
      </c>
    </row>
    <row r="333" spans="1:6" x14ac:dyDescent="0.2">
      <c r="A333" s="49">
        <v>36129</v>
      </c>
      <c r="B333" s="46">
        <v>458.95717999999999</v>
      </c>
      <c r="C333" s="45">
        <f t="shared" si="36"/>
        <v>14.755804973716783</v>
      </c>
      <c r="D333" s="45">
        <f t="shared" si="37"/>
        <v>6.1482520723819931</v>
      </c>
      <c r="E333" s="45">
        <f t="shared" si="39"/>
        <v>5.4017905009638207</v>
      </c>
      <c r="F333" s="45">
        <f t="shared" si="38"/>
        <v>0.12141037202610558</v>
      </c>
    </row>
    <row r="334" spans="1:6" x14ac:dyDescent="0.2">
      <c r="A334" s="49">
        <v>36098</v>
      </c>
      <c r="B334" s="46">
        <v>391.01639</v>
      </c>
      <c r="C334" s="45">
        <f t="shared" ref="C334:C397" si="40">B334/(31.1035)</f>
        <v>12.571459482051859</v>
      </c>
      <c r="D334" s="45">
        <f t="shared" ref="D334:D397" si="41">(C334/24)*10</f>
        <v>5.238108117521608</v>
      </c>
      <c r="E334" s="45">
        <f t="shared" si="39"/>
        <v>5.4427110968243744</v>
      </c>
      <c r="F334" s="45">
        <f t="shared" si="38"/>
        <v>3.9060472734108731E-2</v>
      </c>
    </row>
    <row r="335" spans="1:6" x14ac:dyDescent="0.2">
      <c r="A335" s="49">
        <v>36068</v>
      </c>
      <c r="B335" s="46">
        <v>383.11124999999998</v>
      </c>
      <c r="C335" s="45">
        <f t="shared" si="40"/>
        <v>12.317303518896587</v>
      </c>
      <c r="D335" s="45">
        <f t="shared" si="41"/>
        <v>5.1322097995402451</v>
      </c>
      <c r="E335" s="45">
        <f t="shared" si="39"/>
        <v>5.520336421145406</v>
      </c>
      <c r="F335" s="45">
        <f t="shared" ref="F335:F398" si="42">ABS((D335-E335)/D335)</f>
        <v>7.5625634330056049E-2</v>
      </c>
    </row>
    <row r="336" spans="1:6" x14ac:dyDescent="0.2">
      <c r="A336" s="49">
        <v>36038</v>
      </c>
      <c r="B336" s="46">
        <v>380.94225</v>
      </c>
      <c r="C336" s="45">
        <f t="shared" si="40"/>
        <v>12.247568601604321</v>
      </c>
      <c r="D336" s="45">
        <f t="shared" si="41"/>
        <v>5.1031535840018005</v>
      </c>
      <c r="E336" s="45">
        <f t="shared" si="39"/>
        <v>5.6246321304313067</v>
      </c>
      <c r="F336" s="45">
        <f t="shared" si="42"/>
        <v>0.10218750775291623</v>
      </c>
    </row>
    <row r="337" spans="1:6" x14ac:dyDescent="0.2">
      <c r="A337" s="49">
        <v>36007</v>
      </c>
      <c r="B337" s="46">
        <v>384.01699000000002</v>
      </c>
      <c r="C337" s="45">
        <f t="shared" si="40"/>
        <v>12.346423714372982</v>
      </c>
      <c r="D337" s="45">
        <f t="shared" si="41"/>
        <v>5.1443432143220758</v>
      </c>
      <c r="E337" s="45">
        <f t="shared" si="39"/>
        <v>5.7447043594586145</v>
      </c>
      <c r="F337" s="45">
        <f t="shared" si="42"/>
        <v>0.11670316697865475</v>
      </c>
    </row>
    <row r="338" spans="1:6" x14ac:dyDescent="0.2">
      <c r="A338" s="49">
        <v>35976</v>
      </c>
      <c r="B338" s="46">
        <v>403.88853</v>
      </c>
      <c r="C338" s="45">
        <f t="shared" si="40"/>
        <v>12.985308084299195</v>
      </c>
      <c r="D338" s="45">
        <f t="shared" si="41"/>
        <v>5.410545035124664</v>
      </c>
      <c r="E338" s="45">
        <f t="shared" si="39"/>
        <v>5.8282441905421019</v>
      </c>
      <c r="F338" s="45">
        <f t="shared" si="42"/>
        <v>7.7200938668060395E-2</v>
      </c>
    </row>
    <row r="339" spans="1:6" x14ac:dyDescent="0.2">
      <c r="A339" s="49">
        <v>35944</v>
      </c>
      <c r="B339" s="46">
        <v>420.28753</v>
      </c>
      <c r="C339" s="45">
        <f t="shared" si="40"/>
        <v>13.512547784011446</v>
      </c>
      <c r="D339" s="45">
        <f t="shared" si="41"/>
        <v>5.6302282433381023</v>
      </c>
      <c r="E339" s="45">
        <f t="shared" si="39"/>
        <v>5.8777481773431015</v>
      </c>
      <c r="F339" s="45">
        <f t="shared" si="42"/>
        <v>4.3962682027655638E-2</v>
      </c>
    </row>
    <row r="340" spans="1:6" x14ac:dyDescent="0.2">
      <c r="A340" s="49">
        <v>35915</v>
      </c>
      <c r="B340" s="46">
        <v>433.93227999999999</v>
      </c>
      <c r="C340" s="45">
        <f t="shared" si="40"/>
        <v>13.951236356037102</v>
      </c>
      <c r="D340" s="45">
        <f t="shared" si="41"/>
        <v>5.8130151483487928</v>
      </c>
      <c r="E340" s="45">
        <f t="shared" si="39"/>
        <v>5.8939314345916785</v>
      </c>
      <c r="F340" s="45">
        <f t="shared" si="42"/>
        <v>1.3919847820432768E-2</v>
      </c>
    </row>
    <row r="341" spans="1:6" x14ac:dyDescent="0.2">
      <c r="A341" s="49">
        <v>35885</v>
      </c>
      <c r="B341" s="46">
        <v>430.22624000000002</v>
      </c>
      <c r="C341" s="45">
        <f t="shared" si="40"/>
        <v>13.832084492098961</v>
      </c>
      <c r="D341" s="45">
        <f t="shared" si="41"/>
        <v>5.763368538374567</v>
      </c>
      <c r="E341" s="45">
        <f t="shared" si="39"/>
        <v>5.9265721586459561</v>
      </c>
      <c r="F341" s="45">
        <f t="shared" si="42"/>
        <v>2.8317401392036812E-2</v>
      </c>
    </row>
    <row r="342" spans="1:6" x14ac:dyDescent="0.2">
      <c r="A342" s="49">
        <v>35853</v>
      </c>
      <c r="B342" s="46">
        <v>436.23088999999999</v>
      </c>
      <c r="C342" s="45">
        <f t="shared" si="40"/>
        <v>14.025138328483932</v>
      </c>
      <c r="D342" s="45">
        <f t="shared" si="41"/>
        <v>5.8438076368683047</v>
      </c>
      <c r="E342" s="45">
        <f t="shared" si="39"/>
        <v>5.9472632890903689</v>
      </c>
      <c r="F342" s="45">
        <f t="shared" si="42"/>
        <v>1.7703466412783236E-2</v>
      </c>
    </row>
    <row r="343" spans="1:6" x14ac:dyDescent="0.2">
      <c r="A343" s="49">
        <v>35825</v>
      </c>
      <c r="B343" s="46">
        <v>449.76494000000002</v>
      </c>
      <c r="C343" s="45">
        <f t="shared" si="40"/>
        <v>14.460267815519154</v>
      </c>
      <c r="D343" s="45">
        <f t="shared" si="41"/>
        <v>6.0251115897996481</v>
      </c>
      <c r="E343" s="45">
        <f t="shared" si="39"/>
        <v>5.9278012139130487</v>
      </c>
      <c r="F343" s="45">
        <f t="shared" si="42"/>
        <v>1.615080060116119E-2</v>
      </c>
    </row>
    <row r="344" spans="1:6" x14ac:dyDescent="0.2">
      <c r="A344" s="49">
        <v>35795</v>
      </c>
      <c r="B344" s="46">
        <v>453.18092000000001</v>
      </c>
      <c r="C344" s="45">
        <f t="shared" si="40"/>
        <v>14.57009404086357</v>
      </c>
      <c r="D344" s="45">
        <f t="shared" si="41"/>
        <v>6.0708725170264879</v>
      </c>
      <c r="E344" s="45">
        <f t="shared" si="39"/>
        <v>5.8920333881346885</v>
      </c>
      <c r="F344" s="45">
        <f t="shared" si="42"/>
        <v>2.9458554497763495E-2</v>
      </c>
    </row>
    <row r="345" spans="1:6" x14ac:dyDescent="0.2">
      <c r="A345" s="49">
        <v>35762</v>
      </c>
      <c r="B345" s="46">
        <v>456.99311</v>
      </c>
      <c r="C345" s="45">
        <f t="shared" si="40"/>
        <v>14.692658704004373</v>
      </c>
      <c r="D345" s="45">
        <f t="shared" si="41"/>
        <v>6.1219411266684887</v>
      </c>
      <c r="E345" s="45">
        <f t="shared" si="39"/>
        <v>5.8345564535012384</v>
      </c>
      <c r="F345" s="45">
        <f t="shared" si="42"/>
        <v>4.6943390539210018E-2</v>
      </c>
    </row>
    <row r="346" spans="1:6" x14ac:dyDescent="0.2">
      <c r="A346" s="49">
        <v>35734</v>
      </c>
      <c r="B346" s="46">
        <v>439.68691999999999</v>
      </c>
      <c r="C346" s="45">
        <f t="shared" si="40"/>
        <v>14.136252190267976</v>
      </c>
      <c r="D346" s="45">
        <f t="shared" si="41"/>
        <v>5.8901050792783236</v>
      </c>
      <c r="E346" s="45">
        <f t="shared" si="39"/>
        <v>5.8206692970569671</v>
      </c>
      <c r="F346" s="45">
        <f t="shared" si="42"/>
        <v>1.1788547281717427E-2</v>
      </c>
    </row>
    <row r="347" spans="1:6" x14ac:dyDescent="0.2">
      <c r="A347" s="49">
        <v>35703</v>
      </c>
      <c r="B347" s="46">
        <v>435.27519000000001</v>
      </c>
      <c r="C347" s="45">
        <f t="shared" si="40"/>
        <v>13.994411882907068</v>
      </c>
      <c r="D347" s="45">
        <f t="shared" si="41"/>
        <v>5.8310049512112787</v>
      </c>
      <c r="E347" s="45">
        <f t="shared" si="39"/>
        <v>5.8180853835183886</v>
      </c>
      <c r="F347" s="45">
        <f t="shared" si="42"/>
        <v>2.2156674194225069E-3</v>
      </c>
    </row>
    <row r="348" spans="1:6" x14ac:dyDescent="0.2">
      <c r="A348" s="49">
        <v>35671</v>
      </c>
      <c r="B348" s="46">
        <v>435.21429000000001</v>
      </c>
      <c r="C348" s="45">
        <f t="shared" si="40"/>
        <v>13.99245390390149</v>
      </c>
      <c r="D348" s="45">
        <f t="shared" si="41"/>
        <v>5.8301891266256209</v>
      </c>
      <c r="E348" s="45">
        <f t="shared" si="39"/>
        <v>5.8150594477415805</v>
      </c>
      <c r="F348" s="45">
        <f t="shared" si="42"/>
        <v>2.5950579913343562E-3</v>
      </c>
    </row>
    <row r="349" spans="1:6" x14ac:dyDescent="0.2">
      <c r="A349" s="49">
        <v>35642</v>
      </c>
      <c r="B349" s="46">
        <v>428.30574999999999</v>
      </c>
      <c r="C349" s="45">
        <f t="shared" si="40"/>
        <v>13.77033935087691</v>
      </c>
      <c r="D349" s="45">
        <f t="shared" si="41"/>
        <v>5.7376413961987129</v>
      </c>
      <c r="E349" s="45">
        <f t="shared" si="39"/>
        <v>5.8344139606272964</v>
      </c>
      <c r="F349" s="45">
        <f t="shared" si="42"/>
        <v>1.6866262240211982E-2</v>
      </c>
    </row>
    <row r="350" spans="1:6" x14ac:dyDescent="0.2">
      <c r="A350" s="49">
        <v>35611</v>
      </c>
      <c r="B350" s="46">
        <v>432.31114000000002</v>
      </c>
      <c r="C350" s="45">
        <f t="shared" si="40"/>
        <v>13.899115533621618</v>
      </c>
      <c r="D350" s="45">
        <f t="shared" si="41"/>
        <v>5.7912981390090081</v>
      </c>
      <c r="E350" s="45">
        <f t="shared" si="39"/>
        <v>5.8451929160318681</v>
      </c>
      <c r="F350" s="45">
        <f t="shared" si="42"/>
        <v>9.3061651687098724E-3</v>
      </c>
    </row>
    <row r="351" spans="1:6" x14ac:dyDescent="0.2">
      <c r="A351" s="49">
        <v>35580</v>
      </c>
      <c r="B351" s="46">
        <v>440.72361000000001</v>
      </c>
      <c r="C351" s="45">
        <f t="shared" si="40"/>
        <v>14.169582522867202</v>
      </c>
      <c r="D351" s="45">
        <f t="shared" si="41"/>
        <v>5.9039927178613336</v>
      </c>
      <c r="E351" s="45">
        <f t="shared" si="39"/>
        <v>5.8304929655745017</v>
      </c>
      <c r="F351" s="45">
        <f t="shared" si="42"/>
        <v>1.2449160390132819E-2</v>
      </c>
    </row>
    <row r="352" spans="1:6" x14ac:dyDescent="0.2">
      <c r="A352" s="49">
        <v>35550</v>
      </c>
      <c r="B352" s="46">
        <v>419.37270999999998</v>
      </c>
      <c r="C352" s="45">
        <f t="shared" si="40"/>
        <v>13.483135659973957</v>
      </c>
      <c r="D352" s="45">
        <f t="shared" si="41"/>
        <v>5.6179731916558149</v>
      </c>
      <c r="E352" s="45">
        <f t="shared" si="39"/>
        <v>5.8836229090541732</v>
      </c>
      <c r="F352" s="45">
        <f t="shared" si="42"/>
        <v>4.7285686196032198E-2</v>
      </c>
    </row>
    <row r="353" spans="1:6" x14ac:dyDescent="0.2">
      <c r="A353" s="49">
        <v>35520</v>
      </c>
      <c r="B353" s="46">
        <v>426.67405000000002</v>
      </c>
      <c r="C353" s="45">
        <f t="shared" si="40"/>
        <v>13.717879016830905</v>
      </c>
      <c r="D353" s="45">
        <f t="shared" si="41"/>
        <v>5.7157829236795434</v>
      </c>
      <c r="E353" s="45">
        <f t="shared" si="39"/>
        <v>5.9255829053978299</v>
      </c>
      <c r="F353" s="45">
        <f t="shared" si="42"/>
        <v>3.67053795638599E-2</v>
      </c>
    </row>
    <row r="354" spans="1:6" x14ac:dyDescent="0.2">
      <c r="A354" s="49">
        <v>35489</v>
      </c>
      <c r="B354" s="46">
        <v>416.50927999999999</v>
      </c>
      <c r="C354" s="45">
        <f t="shared" si="40"/>
        <v>13.39107431639526</v>
      </c>
      <c r="D354" s="45">
        <f t="shared" si="41"/>
        <v>5.5796142984980248</v>
      </c>
      <c r="E354" s="45">
        <f t="shared" si="39"/>
        <v>6.0120750571227806</v>
      </c>
      <c r="F354" s="45">
        <f t="shared" si="42"/>
        <v>7.7507285537849774E-2</v>
      </c>
    </row>
    <row r="355" spans="1:6" x14ac:dyDescent="0.2">
      <c r="A355" s="49">
        <v>35461</v>
      </c>
      <c r="B355" s="46">
        <v>411.71321</v>
      </c>
      <c r="C355" s="45">
        <f t="shared" si="40"/>
        <v>13.236877200315076</v>
      </c>
      <c r="D355" s="45">
        <f t="shared" si="41"/>
        <v>5.5153655001312814</v>
      </c>
      <c r="E355" s="45">
        <f t="shared" si="39"/>
        <v>6.1362524463706558</v>
      </c>
      <c r="F355" s="45">
        <f t="shared" si="42"/>
        <v>0.1125740345267409</v>
      </c>
    </row>
    <row r="356" spans="1:6" x14ac:dyDescent="0.2">
      <c r="A356" s="49">
        <v>35430</v>
      </c>
      <c r="B356" s="46">
        <v>432.3295</v>
      </c>
      <c r="C356" s="45">
        <f t="shared" si="40"/>
        <v>13.899705820888324</v>
      </c>
      <c r="D356" s="45">
        <f t="shared" si="41"/>
        <v>5.7915440920368013</v>
      </c>
      <c r="E356" s="45">
        <f t="shared" si="39"/>
        <v>6.2224295349541183</v>
      </c>
      <c r="F356" s="45">
        <f t="shared" si="42"/>
        <v>7.4399061125990817E-2</v>
      </c>
    </row>
    <row r="357" spans="1:6" x14ac:dyDescent="0.2">
      <c r="A357" s="49">
        <v>35398</v>
      </c>
      <c r="B357" s="46">
        <v>450.36615999999998</v>
      </c>
      <c r="C357" s="45">
        <f t="shared" si="40"/>
        <v>14.479597472953204</v>
      </c>
      <c r="D357" s="45">
        <f t="shared" si="41"/>
        <v>6.0331656137305014</v>
      </c>
      <c r="E357" s="45">
        <f t="shared" si="39"/>
        <v>6.2697455152600217</v>
      </c>
      <c r="F357" s="45">
        <f t="shared" si="42"/>
        <v>3.9213228456898806E-2</v>
      </c>
    </row>
    <row r="358" spans="1:6" x14ac:dyDescent="0.2">
      <c r="A358" s="49">
        <v>35369</v>
      </c>
      <c r="B358" s="46">
        <v>447.71552000000003</v>
      </c>
      <c r="C358" s="45">
        <f t="shared" si="40"/>
        <v>14.394377481633901</v>
      </c>
      <c r="D358" s="45">
        <f t="shared" si="41"/>
        <v>5.9976572840141253</v>
      </c>
      <c r="E358" s="45">
        <f t="shared" si="39"/>
        <v>6.3377675730714946</v>
      </c>
      <c r="F358" s="45">
        <f t="shared" si="42"/>
        <v>5.6707189649512539E-2</v>
      </c>
    </row>
    <row r="359" spans="1:6" x14ac:dyDescent="0.2">
      <c r="A359" s="49">
        <v>35338</v>
      </c>
      <c r="B359" s="46">
        <v>450.19466</v>
      </c>
      <c r="C359" s="45">
        <f t="shared" si="40"/>
        <v>14.474083624029451</v>
      </c>
      <c r="D359" s="45">
        <f t="shared" si="41"/>
        <v>6.0308681766789372</v>
      </c>
      <c r="E359" s="45">
        <f t="shared" si="39"/>
        <v>6.4144924221696336</v>
      </c>
      <c r="F359" s="45">
        <f t="shared" si="42"/>
        <v>6.3610119513829208E-2</v>
      </c>
    </row>
    <row r="360" spans="1:6" x14ac:dyDescent="0.2">
      <c r="A360" s="49">
        <v>35307</v>
      </c>
      <c r="B360" s="46">
        <v>446.33467000000002</v>
      </c>
      <c r="C360" s="45">
        <f t="shared" si="40"/>
        <v>14.349982156348965</v>
      </c>
      <c r="D360" s="45">
        <f t="shared" si="41"/>
        <v>5.9791592318120692</v>
      </c>
      <c r="E360" s="45">
        <f t="shared" si="39"/>
        <v>6.5233257197590238</v>
      </c>
      <c r="F360" s="45">
        <f t="shared" si="42"/>
        <v>9.1010536239229264E-2</v>
      </c>
    </row>
    <row r="361" spans="1:6" x14ac:dyDescent="0.2">
      <c r="A361" s="49">
        <v>35277</v>
      </c>
      <c r="B361" s="46">
        <v>471.53836999999999</v>
      </c>
      <c r="C361" s="45">
        <f t="shared" si="40"/>
        <v>15.160299323227289</v>
      </c>
      <c r="D361" s="45">
        <f t="shared" si="41"/>
        <v>6.3167913846780364</v>
      </c>
      <c r="E361" s="45">
        <f t="shared" si="39"/>
        <v>6.5749593035292708</v>
      </c>
      <c r="F361" s="45">
        <f t="shared" si="42"/>
        <v>4.0870103685463594E-2</v>
      </c>
    </row>
    <row r="362" spans="1:6" x14ac:dyDescent="0.2">
      <c r="A362" s="49">
        <v>35244</v>
      </c>
      <c r="B362" s="46">
        <v>474.56</v>
      </c>
      <c r="C362" s="45">
        <f t="shared" si="40"/>
        <v>15.257446911119327</v>
      </c>
      <c r="D362" s="45">
        <f t="shared" si="41"/>
        <v>6.3572695462997197</v>
      </c>
      <c r="E362" s="45">
        <f t="shared" si="39"/>
        <v>6.6293817428366584</v>
      </c>
      <c r="F362" s="45">
        <f t="shared" si="42"/>
        <v>4.280331273594068E-2</v>
      </c>
    </row>
    <row r="363" spans="1:6" x14ac:dyDescent="0.2">
      <c r="A363" s="49">
        <v>35216</v>
      </c>
      <c r="B363" s="46">
        <v>480.1121</v>
      </c>
      <c r="C363" s="45">
        <f t="shared" si="40"/>
        <v>15.435950937997331</v>
      </c>
      <c r="D363" s="45">
        <f t="shared" si="41"/>
        <v>6.4316462241655543</v>
      </c>
      <c r="E363" s="45">
        <f t="shared" si="39"/>
        <v>6.6788156225044348</v>
      </c>
      <c r="F363" s="45">
        <f t="shared" si="42"/>
        <v>3.8430191855110693E-2</v>
      </c>
    </row>
    <row r="364" spans="1:6" x14ac:dyDescent="0.2">
      <c r="A364" s="49">
        <v>35185</v>
      </c>
      <c r="B364" s="46">
        <v>482.32942000000003</v>
      </c>
      <c r="C364" s="45">
        <f t="shared" si="40"/>
        <v>15.507239378205027</v>
      </c>
      <c r="D364" s="45">
        <f t="shared" si="41"/>
        <v>6.4613497409187612</v>
      </c>
      <c r="E364" s="45">
        <f t="shared" si="39"/>
        <v>6.7331820929008535</v>
      </c>
      <c r="F364" s="45">
        <f t="shared" si="42"/>
        <v>4.207052131238441E-2</v>
      </c>
    </row>
    <row r="365" spans="1:6" x14ac:dyDescent="0.2">
      <c r="A365" s="49">
        <v>35153</v>
      </c>
      <c r="B365" s="46">
        <v>469.60381999999998</v>
      </c>
      <c r="C365" s="45">
        <f t="shared" si="40"/>
        <v>15.09810214284566</v>
      </c>
      <c r="D365" s="45">
        <f t="shared" si="41"/>
        <v>6.290875892852358</v>
      </c>
      <c r="E365" s="45">
        <f t="shared" si="39"/>
        <v>6.8437586429129764</v>
      </c>
      <c r="F365" s="45">
        <f t="shared" si="42"/>
        <v>8.7886450071094122E-2</v>
      </c>
    </row>
    <row r="366" spans="1:6" x14ac:dyDescent="0.2">
      <c r="A366" s="49">
        <v>35124</v>
      </c>
      <c r="B366" s="46">
        <v>479.06808000000001</v>
      </c>
      <c r="C366" s="45">
        <f t="shared" si="40"/>
        <v>15.402384940601539</v>
      </c>
      <c r="D366" s="45">
        <f t="shared" si="41"/>
        <v>6.4176603919173081</v>
      </c>
      <c r="E366" s="45">
        <f t="shared" si="39"/>
        <v>6.9502832056618935</v>
      </c>
      <c r="F366" s="45">
        <f t="shared" si="42"/>
        <v>8.299329992833443E-2</v>
      </c>
    </row>
    <row r="367" spans="1:6" x14ac:dyDescent="0.2">
      <c r="A367" s="49">
        <v>35095</v>
      </c>
      <c r="B367" s="46">
        <v>502.29818999999998</v>
      </c>
      <c r="C367" s="45">
        <f t="shared" si="40"/>
        <v>16.14924976288842</v>
      </c>
      <c r="D367" s="45">
        <f t="shared" si="41"/>
        <v>6.7288540678701745</v>
      </c>
      <c r="E367" s="45">
        <f t="shared" si="39"/>
        <v>7.0056404901098235</v>
      </c>
      <c r="F367" s="45">
        <f t="shared" si="42"/>
        <v>4.1134258441015321E-2</v>
      </c>
    </row>
    <row r="368" spans="1:6" x14ac:dyDescent="0.2">
      <c r="A368" s="49">
        <v>35062</v>
      </c>
      <c r="B368" s="46">
        <v>505.62090000000001</v>
      </c>
      <c r="C368" s="45">
        <f t="shared" si="40"/>
        <v>16.2560772903371</v>
      </c>
      <c r="D368" s="45">
        <f t="shared" si="41"/>
        <v>6.7733655376404576</v>
      </c>
      <c r="E368" s="45">
        <f t="shared" si="39"/>
        <v>7.0637092282271645</v>
      </c>
      <c r="F368" s="45">
        <f t="shared" si="42"/>
        <v>4.2865498543261833E-2</v>
      </c>
    </row>
    <row r="369" spans="1:6" x14ac:dyDescent="0.2">
      <c r="A369" s="49">
        <v>35033</v>
      </c>
      <c r="B369" s="46">
        <v>514.72338999999999</v>
      </c>
      <c r="C369" s="45">
        <f t="shared" si="40"/>
        <v>16.548728921182501</v>
      </c>
      <c r="D369" s="45">
        <f t="shared" si="41"/>
        <v>6.8953037171593756</v>
      </c>
      <c r="E369" s="45">
        <f t="shared" si="39"/>
        <v>7.1058106059941109</v>
      </c>
      <c r="F369" s="45">
        <f t="shared" si="42"/>
        <v>3.0529023444011066E-2</v>
      </c>
    </row>
    <row r="370" spans="1:6" x14ac:dyDescent="0.2">
      <c r="A370" s="49">
        <v>35003</v>
      </c>
      <c r="B370" s="46">
        <v>524.66953000000001</v>
      </c>
      <c r="C370" s="45">
        <f t="shared" si="40"/>
        <v>16.868504509138845</v>
      </c>
      <c r="D370" s="45">
        <f t="shared" si="41"/>
        <v>7.028543545474518</v>
      </c>
      <c r="E370" s="45">
        <f t="shared" si="39"/>
        <v>7.1251273711240088</v>
      </c>
      <c r="F370" s="45">
        <f t="shared" si="42"/>
        <v>1.3741655724915936E-2</v>
      </c>
    </row>
    <row r="371" spans="1:6" x14ac:dyDescent="0.2">
      <c r="A371" s="49">
        <v>34971</v>
      </c>
      <c r="B371" s="46">
        <v>531.43069000000003</v>
      </c>
      <c r="C371" s="45">
        <f t="shared" si="40"/>
        <v>17.085880688668478</v>
      </c>
      <c r="D371" s="45">
        <f t="shared" si="41"/>
        <v>7.1191169536118659</v>
      </c>
      <c r="E371" s="45">
        <f t="shared" si="39"/>
        <v>7.1266299755020439</v>
      </c>
      <c r="F371" s="45">
        <f t="shared" si="42"/>
        <v>1.055330589331909E-3</v>
      </c>
    </row>
    <row r="372" spans="1:6" x14ac:dyDescent="0.2">
      <c r="A372" s="49">
        <v>34942</v>
      </c>
      <c r="B372" s="46">
        <v>525.04614000000004</v>
      </c>
      <c r="C372" s="45">
        <f t="shared" si="40"/>
        <v>16.880612792772517</v>
      </c>
      <c r="D372" s="45">
        <f t="shared" si="41"/>
        <v>7.0335886636552161</v>
      </c>
      <c r="E372" s="45">
        <f t="shared" si="39"/>
        <v>7.1498903034637502</v>
      </c>
      <c r="F372" s="45">
        <f t="shared" si="42"/>
        <v>1.6535177897095632E-2</v>
      </c>
    </row>
    <row r="373" spans="1:6" x14ac:dyDescent="0.2">
      <c r="A373" s="49">
        <v>34911</v>
      </c>
      <c r="B373" s="46">
        <v>526.14545999999996</v>
      </c>
      <c r="C373" s="45">
        <f t="shared" si="40"/>
        <v>16.915956725127394</v>
      </c>
      <c r="D373" s="45">
        <f t="shared" si="41"/>
        <v>7.0483153021364142</v>
      </c>
      <c r="E373" s="45">
        <f t="shared" si="39"/>
        <v>7.1752840537955835</v>
      </c>
      <c r="F373" s="45">
        <f t="shared" si="42"/>
        <v>1.8014056723694504E-2</v>
      </c>
    </row>
    <row r="374" spans="1:6" x14ac:dyDescent="0.2">
      <c r="A374" s="49">
        <v>34880</v>
      </c>
      <c r="B374" s="46">
        <v>536.64705000000004</v>
      </c>
      <c r="C374" s="45">
        <f t="shared" si="40"/>
        <v>17.253590431944961</v>
      </c>
      <c r="D374" s="45">
        <f t="shared" si="41"/>
        <v>7.1889960133104003</v>
      </c>
      <c r="E374" s="45">
        <f t="shared" si="39"/>
        <v>7.1718560639168789</v>
      </c>
      <c r="F374" s="45">
        <f t="shared" si="42"/>
        <v>2.3841923631320447E-3</v>
      </c>
    </row>
    <row r="375" spans="1:6" x14ac:dyDescent="0.2">
      <c r="A375" s="49">
        <v>34850</v>
      </c>
      <c r="B375" s="46">
        <v>533.90764000000001</v>
      </c>
      <c r="C375" s="45">
        <f t="shared" si="40"/>
        <v>17.165516420981561</v>
      </c>
      <c r="D375" s="45">
        <f t="shared" si="41"/>
        <v>7.1522985087423177</v>
      </c>
      <c r="E375" s="45">
        <f t="shared" si="39"/>
        <v>7.1767454527105183</v>
      </c>
      <c r="F375" s="45">
        <f t="shared" si="42"/>
        <v>3.4180542015016528E-3</v>
      </c>
    </row>
    <row r="376" spans="1:6" x14ac:dyDescent="0.2">
      <c r="A376" s="49">
        <v>34817</v>
      </c>
      <c r="B376" s="46">
        <v>540.93687</v>
      </c>
      <c r="C376" s="45">
        <f t="shared" si="40"/>
        <v>17.391511244715225</v>
      </c>
      <c r="D376" s="45">
        <f t="shared" si="41"/>
        <v>7.2464630186313439</v>
      </c>
      <c r="E376" s="45">
        <f t="shared" si="39"/>
        <v>7.1593160612303119</v>
      </c>
      <c r="F376" s="45">
        <f t="shared" si="42"/>
        <v>1.2026137051547611E-2</v>
      </c>
    </row>
    <row r="377" spans="1:6" x14ac:dyDescent="0.2">
      <c r="A377" s="49">
        <v>34789</v>
      </c>
      <c r="B377" s="46">
        <v>556.81498999999997</v>
      </c>
      <c r="C377" s="45">
        <f t="shared" si="40"/>
        <v>17.902004276046103</v>
      </c>
      <c r="D377" s="45">
        <f t="shared" si="41"/>
        <v>7.4591684483525436</v>
      </c>
      <c r="E377" s="45">
        <f t="shared" si="39"/>
        <v>7.0843529644497529</v>
      </c>
      <c r="F377" s="45">
        <f t="shared" si="42"/>
        <v>5.0248963607407687E-2</v>
      </c>
    </row>
    <row r="378" spans="1:6" x14ac:dyDescent="0.2">
      <c r="A378" s="49">
        <v>34758</v>
      </c>
      <c r="B378" s="46">
        <v>545.96208000000001</v>
      </c>
      <c r="C378" s="45">
        <f t="shared" si="40"/>
        <v>17.553075377369108</v>
      </c>
      <c r="D378" s="45">
        <f t="shared" si="41"/>
        <v>7.313781407237129</v>
      </c>
      <c r="E378" s="45">
        <f t="shared" si="39"/>
        <v>7.0269958537529087</v>
      </c>
      <c r="F378" s="45">
        <f t="shared" si="42"/>
        <v>3.9211665965356912E-2</v>
      </c>
    </row>
    <row r="379" spans="1:6" x14ac:dyDescent="0.2">
      <c r="A379" s="49">
        <v>34730</v>
      </c>
      <c r="B379" s="46">
        <v>530.89157</v>
      </c>
      <c r="C379" s="45">
        <f t="shared" si="40"/>
        <v>17.068547591107109</v>
      </c>
      <c r="D379" s="45">
        <f t="shared" si="41"/>
        <v>7.1118948296279614</v>
      </c>
      <c r="E379" s="45">
        <f t="shared" si="39"/>
        <v>7.0057711097841455</v>
      </c>
      <c r="F379" s="45">
        <f t="shared" si="42"/>
        <v>1.4922003542812151E-2</v>
      </c>
    </row>
    <row r="380" spans="1:6" x14ac:dyDescent="0.2">
      <c r="A380" s="49">
        <v>34698</v>
      </c>
      <c r="B380" s="46">
        <v>521.28179999999998</v>
      </c>
      <c r="C380" s="45">
        <f t="shared" si="40"/>
        <v>16.759586541707524</v>
      </c>
      <c r="D380" s="45">
        <f t="shared" si="41"/>
        <v>6.983161059044801</v>
      </c>
      <c r="E380" s="45">
        <f t="shared" si="39"/>
        <v>7.011423622468981</v>
      </c>
      <c r="F380" s="45">
        <f t="shared" si="42"/>
        <v>4.0472449633069058E-3</v>
      </c>
    </row>
    <row r="381" spans="1:6" x14ac:dyDescent="0.2">
      <c r="A381" s="49">
        <v>34668</v>
      </c>
      <c r="B381" s="46">
        <v>515.42497000000003</v>
      </c>
      <c r="C381" s="45">
        <f t="shared" si="40"/>
        <v>16.571285225135437</v>
      </c>
      <c r="D381" s="45">
        <f t="shared" si="41"/>
        <v>6.9047021771397654</v>
      </c>
      <c r="E381" s="45">
        <f t="shared" si="39"/>
        <v>7.0381039838012844</v>
      </c>
      <c r="F381" s="45">
        <f t="shared" si="42"/>
        <v>1.9320428780141823E-2</v>
      </c>
    </row>
    <row r="382" spans="1:6" x14ac:dyDescent="0.2">
      <c r="A382" s="49">
        <v>34638</v>
      </c>
      <c r="B382" s="46">
        <v>517.39227000000005</v>
      </c>
      <c r="C382" s="45">
        <f t="shared" si="40"/>
        <v>16.634535341681804</v>
      </c>
      <c r="D382" s="45">
        <f t="shared" si="41"/>
        <v>6.9310563923674184</v>
      </c>
      <c r="E382" s="45">
        <f t="shared" si="39"/>
        <v>7.0648658816597507</v>
      </c>
      <c r="F382" s="45">
        <f t="shared" si="42"/>
        <v>1.9305785686534776E-2</v>
      </c>
    </row>
    <row r="383" spans="1:6" x14ac:dyDescent="0.2">
      <c r="A383" s="49">
        <v>34607</v>
      </c>
      <c r="B383" s="46">
        <v>520.14621</v>
      </c>
      <c r="C383" s="45">
        <f t="shared" si="40"/>
        <v>16.723076502644396</v>
      </c>
      <c r="D383" s="45">
        <f t="shared" si="41"/>
        <v>6.9679485427684984</v>
      </c>
      <c r="E383" s="45">
        <f t="shared" si="39"/>
        <v>7.0890952163825638</v>
      </c>
      <c r="F383" s="45">
        <f t="shared" si="42"/>
        <v>1.7386275583190731E-2</v>
      </c>
    </row>
    <row r="384" spans="1:6" x14ac:dyDescent="0.2">
      <c r="A384" s="49">
        <v>34577</v>
      </c>
      <c r="B384" s="46">
        <v>525.86481000000003</v>
      </c>
      <c r="C384" s="45">
        <f t="shared" si="40"/>
        <v>16.906933624833218</v>
      </c>
      <c r="D384" s="45">
        <f t="shared" si="41"/>
        <v>7.0445556770138404</v>
      </c>
      <c r="E384" s="45">
        <f t="shared" si="39"/>
        <v>7.100230101224744</v>
      </c>
      <c r="F384" s="45">
        <f t="shared" si="42"/>
        <v>7.9031846383963399E-3</v>
      </c>
    </row>
    <row r="385" spans="1:6" x14ac:dyDescent="0.2">
      <c r="A385" s="49">
        <v>34544</v>
      </c>
      <c r="B385" s="46">
        <v>533.85308999999995</v>
      </c>
      <c r="C385" s="45">
        <f t="shared" si="40"/>
        <v>17.163762599064412</v>
      </c>
      <c r="D385" s="45">
        <f t="shared" si="41"/>
        <v>7.1515677496101713</v>
      </c>
      <c r="E385" s="45">
        <f t="shared" si="39"/>
        <v>7.0873956891283871</v>
      </c>
      <c r="F385" s="45">
        <f t="shared" si="42"/>
        <v>8.973145851171184E-3</v>
      </c>
    </row>
    <row r="386" spans="1:6" x14ac:dyDescent="0.2">
      <c r="A386" s="49">
        <v>34515</v>
      </c>
      <c r="B386" s="46">
        <v>524.18840999999998</v>
      </c>
      <c r="C386" s="45">
        <f t="shared" si="40"/>
        <v>16.853036153487547</v>
      </c>
      <c r="D386" s="45">
        <f t="shared" si="41"/>
        <v>7.0220983972864781</v>
      </c>
      <c r="E386" s="45">
        <f t="shared" ref="E386:E449" si="43">($T$1*D387) + ((1-$T$1)*E387)</f>
        <v>7.1037200120888642</v>
      </c>
      <c r="F386" s="45">
        <f t="shared" si="42"/>
        <v>1.1623536183133916E-2</v>
      </c>
    </row>
    <row r="387" spans="1:6" x14ac:dyDescent="0.2">
      <c r="A387" s="49">
        <v>34485</v>
      </c>
      <c r="B387" s="46">
        <v>538.41539</v>
      </c>
      <c r="C387" s="45">
        <f t="shared" si="40"/>
        <v>17.31044384072532</v>
      </c>
      <c r="D387" s="45">
        <f t="shared" si="41"/>
        <v>7.2126849336355505</v>
      </c>
      <c r="E387" s="45">
        <f t="shared" si="43"/>
        <v>7.0764787817021917</v>
      </c>
      <c r="F387" s="45">
        <f t="shared" si="42"/>
        <v>1.8884250897772709E-2</v>
      </c>
    </row>
    <row r="388" spans="1:6" x14ac:dyDescent="0.2">
      <c r="A388" s="49">
        <v>34453</v>
      </c>
      <c r="B388" s="46">
        <v>538.11972000000003</v>
      </c>
      <c r="C388" s="45">
        <f t="shared" si="40"/>
        <v>17.300937836577877</v>
      </c>
      <c r="D388" s="45">
        <f t="shared" si="41"/>
        <v>7.2087240985741152</v>
      </c>
      <c r="E388" s="45">
        <f t="shared" si="43"/>
        <v>7.0434174524842099</v>
      </c>
      <c r="F388" s="45">
        <f t="shared" si="42"/>
        <v>2.2931470788652174E-2</v>
      </c>
    </row>
    <row r="389" spans="1:6" x14ac:dyDescent="0.2">
      <c r="A389" s="49">
        <v>34424</v>
      </c>
      <c r="B389" s="46">
        <v>527.44101999999998</v>
      </c>
      <c r="C389" s="45">
        <f t="shared" si="40"/>
        <v>16.957609915282845</v>
      </c>
      <c r="D389" s="45">
        <f t="shared" si="41"/>
        <v>7.0656707980345193</v>
      </c>
      <c r="E389" s="45">
        <f t="shared" si="43"/>
        <v>7.0378541160966321</v>
      </c>
      <c r="F389" s="45">
        <f t="shared" si="42"/>
        <v>3.9368777194693201E-3</v>
      </c>
    </row>
    <row r="390" spans="1:6" x14ac:dyDescent="0.2">
      <c r="A390" s="49">
        <v>34393</v>
      </c>
      <c r="B390" s="46">
        <v>535.11713999999995</v>
      </c>
      <c r="C390" s="45">
        <f t="shared" si="40"/>
        <v>17.20440271995113</v>
      </c>
      <c r="D390" s="45">
        <f t="shared" si="41"/>
        <v>7.1685011333129713</v>
      </c>
      <c r="E390" s="45">
        <f t="shared" si="43"/>
        <v>7.0051923617925471</v>
      </c>
      <c r="F390" s="45">
        <f t="shared" si="42"/>
        <v>2.2781439032143944E-2</v>
      </c>
    </row>
    <row r="391" spans="1:6" x14ac:dyDescent="0.2">
      <c r="A391" s="49">
        <v>34365</v>
      </c>
      <c r="B391" s="46">
        <v>525.89467999999999</v>
      </c>
      <c r="C391" s="45">
        <f t="shared" si="40"/>
        <v>16.907893966916905</v>
      </c>
      <c r="D391" s="45">
        <f t="shared" si="41"/>
        <v>7.0449558195487105</v>
      </c>
      <c r="E391" s="45">
        <f t="shared" si="43"/>
        <v>6.9952514973535056</v>
      </c>
      <c r="F391" s="45">
        <f t="shared" si="42"/>
        <v>7.0553064445461515E-3</v>
      </c>
    </row>
    <row r="392" spans="1:6" x14ac:dyDescent="0.2">
      <c r="A392" s="49">
        <v>34334</v>
      </c>
      <c r="B392" s="46">
        <v>524.42050000000006</v>
      </c>
      <c r="C392" s="45">
        <f t="shared" si="40"/>
        <v>16.860498014692883</v>
      </c>
      <c r="D392" s="45">
        <f t="shared" si="41"/>
        <v>7.025207506122034</v>
      </c>
      <c r="E392" s="45">
        <f t="shared" si="43"/>
        <v>6.9877624951613733</v>
      </c>
      <c r="F392" s="45">
        <f t="shared" si="42"/>
        <v>5.3300932289942699E-3</v>
      </c>
    </row>
    <row r="393" spans="1:6" x14ac:dyDescent="0.2">
      <c r="A393" s="49">
        <v>34303</v>
      </c>
      <c r="B393" s="46">
        <v>526.04336000000001</v>
      </c>
      <c r="C393" s="45">
        <f t="shared" si="40"/>
        <v>16.912674136351214</v>
      </c>
      <c r="D393" s="45">
        <f t="shared" si="41"/>
        <v>7.0469475568130058</v>
      </c>
      <c r="E393" s="45">
        <f t="shared" si="43"/>
        <v>6.9729662297484643</v>
      </c>
      <c r="F393" s="45">
        <f t="shared" si="42"/>
        <v>1.0498350735279164E-2</v>
      </c>
    </row>
    <row r="394" spans="1:6" x14ac:dyDescent="0.2">
      <c r="A394" s="49">
        <v>34271</v>
      </c>
      <c r="B394" s="46">
        <v>530.31523000000004</v>
      </c>
      <c r="C394" s="45">
        <f t="shared" si="40"/>
        <v>17.050017843651037</v>
      </c>
      <c r="D394" s="45">
        <f t="shared" si="41"/>
        <v>7.1041741015212656</v>
      </c>
      <c r="E394" s="45">
        <f t="shared" si="43"/>
        <v>6.9401642618052639</v>
      </c>
      <c r="F394" s="45">
        <f t="shared" si="42"/>
        <v>2.3086404889891582E-2</v>
      </c>
    </row>
    <row r="395" spans="1:6" x14ac:dyDescent="0.2">
      <c r="A395" s="49">
        <v>34242</v>
      </c>
      <c r="B395" s="46">
        <v>524.41056000000003</v>
      </c>
      <c r="C395" s="45">
        <f t="shared" si="40"/>
        <v>16.86017843651036</v>
      </c>
      <c r="D395" s="45">
        <f t="shared" si="41"/>
        <v>7.0250743485459832</v>
      </c>
      <c r="E395" s="45">
        <f t="shared" si="43"/>
        <v>6.9189367401200839</v>
      </c>
      <c r="F395" s="45">
        <f t="shared" si="42"/>
        <v>1.5108396461009303E-2</v>
      </c>
    </row>
    <row r="396" spans="1:6" x14ac:dyDescent="0.2">
      <c r="A396" s="49">
        <v>34212</v>
      </c>
      <c r="B396" s="46">
        <v>532.88702000000001</v>
      </c>
      <c r="C396" s="45">
        <f t="shared" si="40"/>
        <v>17.132702750494317</v>
      </c>
      <c r="D396" s="45">
        <f t="shared" si="41"/>
        <v>7.1386261460392983</v>
      </c>
      <c r="E396" s="45">
        <f t="shared" si="43"/>
        <v>6.86401438864028</v>
      </c>
      <c r="F396" s="45">
        <f t="shared" si="42"/>
        <v>3.8468432409978541E-2</v>
      </c>
    </row>
    <row r="397" spans="1:6" x14ac:dyDescent="0.2">
      <c r="A397" s="49">
        <v>34180</v>
      </c>
      <c r="B397" s="46">
        <v>533.35769000000005</v>
      </c>
      <c r="C397" s="45">
        <f t="shared" si="40"/>
        <v>17.147835131094574</v>
      </c>
      <c r="D397" s="45">
        <f t="shared" si="41"/>
        <v>7.1449313046227392</v>
      </c>
      <c r="E397" s="45">
        <f t="shared" si="43"/>
        <v>6.7937851596446643</v>
      </c>
      <c r="F397" s="45">
        <f t="shared" si="42"/>
        <v>4.9146189096441674E-2</v>
      </c>
    </row>
    <row r="398" spans="1:6" x14ac:dyDescent="0.2">
      <c r="A398" s="49">
        <v>34150</v>
      </c>
      <c r="B398" s="46">
        <v>526.69212000000005</v>
      </c>
      <c r="C398" s="45">
        <f t="shared" ref="C398:C461" si="44">B398/(31.1035)</f>
        <v>16.933532239137076</v>
      </c>
      <c r="D398" s="45">
        <f t="shared" ref="D398:D461" si="45">(C398/24)*10</f>
        <v>7.0556384329737822</v>
      </c>
      <c r="E398" s="45">
        <f t="shared" si="43"/>
        <v>6.7283218413123844</v>
      </c>
      <c r="F398" s="45">
        <f t="shared" si="42"/>
        <v>4.6390783027049437E-2</v>
      </c>
    </row>
    <row r="399" spans="1:6" x14ac:dyDescent="0.2">
      <c r="A399" s="49">
        <v>34120</v>
      </c>
      <c r="B399" s="46">
        <v>521.50970000000007</v>
      </c>
      <c r="C399" s="45">
        <f t="shared" si="44"/>
        <v>16.766913691385216</v>
      </c>
      <c r="D399" s="45">
        <f t="shared" si="45"/>
        <v>6.9862140380771729</v>
      </c>
      <c r="E399" s="45">
        <f t="shared" si="43"/>
        <v>6.6638487921211871</v>
      </c>
      <c r="F399" s="45">
        <f t="shared" ref="F399:F462" si="46">ABS((D399-E399)/D399)</f>
        <v>4.6143053190038093E-2</v>
      </c>
    </row>
    <row r="400" spans="1:6" x14ac:dyDescent="0.2">
      <c r="A400" s="49">
        <v>34089</v>
      </c>
      <c r="B400" s="46">
        <v>524.12390000000005</v>
      </c>
      <c r="C400" s="45">
        <f t="shared" si="44"/>
        <v>16.85096211037343</v>
      </c>
      <c r="D400" s="45">
        <f t="shared" si="45"/>
        <v>7.021234212655596</v>
      </c>
      <c r="E400" s="45">
        <f t="shared" si="43"/>
        <v>6.5745024369875846</v>
      </c>
      <c r="F400" s="45">
        <f t="shared" si="46"/>
        <v>6.362581878593207E-2</v>
      </c>
    </row>
    <row r="401" spans="1:6" x14ac:dyDescent="0.2">
      <c r="A401" s="49">
        <v>34059</v>
      </c>
      <c r="B401" s="46">
        <v>512.49042000000009</v>
      </c>
      <c r="C401" s="45">
        <f t="shared" si="44"/>
        <v>16.476937322166318</v>
      </c>
      <c r="D401" s="45">
        <f t="shared" si="45"/>
        <v>6.8653905509026325</v>
      </c>
      <c r="E401" s="45">
        <f t="shared" si="43"/>
        <v>6.5017804085088224</v>
      </c>
      <c r="F401" s="45">
        <f t="shared" si="46"/>
        <v>5.2962776071931429E-2</v>
      </c>
    </row>
    <row r="402" spans="1:6" x14ac:dyDescent="0.2">
      <c r="A402" s="49">
        <v>34026</v>
      </c>
      <c r="B402" s="46">
        <v>509.47717000000006</v>
      </c>
      <c r="C402" s="45">
        <f t="shared" si="44"/>
        <v>16.380059157329562</v>
      </c>
      <c r="D402" s="45">
        <f t="shared" si="45"/>
        <v>6.8250246488873181</v>
      </c>
      <c r="E402" s="45">
        <f t="shared" si="43"/>
        <v>6.4209693484141983</v>
      </c>
      <c r="F402" s="45">
        <f t="shared" si="46"/>
        <v>5.920202801597102E-2</v>
      </c>
    </row>
    <row r="403" spans="1:6" x14ac:dyDescent="0.2">
      <c r="A403" s="49">
        <v>33998</v>
      </c>
      <c r="B403" s="46">
        <v>511.01445000000007</v>
      </c>
      <c r="C403" s="45">
        <f t="shared" si="44"/>
        <v>16.42948382014886</v>
      </c>
      <c r="D403" s="45">
        <f t="shared" si="45"/>
        <v>6.8456182583953584</v>
      </c>
      <c r="E403" s="45">
        <f t="shared" si="43"/>
        <v>6.3148071209189078</v>
      </c>
      <c r="F403" s="45">
        <f t="shared" si="46"/>
        <v>7.7540277216812697E-2</v>
      </c>
    </row>
    <row r="404" spans="1:6" x14ac:dyDescent="0.2">
      <c r="A404" s="49">
        <v>33969</v>
      </c>
      <c r="B404" s="46">
        <v>492.45772000000005</v>
      </c>
      <c r="C404" s="45">
        <f t="shared" si="44"/>
        <v>15.832871541787902</v>
      </c>
      <c r="D404" s="45">
        <f t="shared" si="45"/>
        <v>6.5970298090782933</v>
      </c>
      <c r="E404" s="45">
        <f t="shared" si="43"/>
        <v>6.2442514488790604</v>
      </c>
      <c r="F404" s="45">
        <f t="shared" si="46"/>
        <v>5.3475332143227271E-2</v>
      </c>
    </row>
    <row r="405" spans="1:6" x14ac:dyDescent="0.2">
      <c r="A405" s="49">
        <v>33938</v>
      </c>
      <c r="B405" s="46">
        <v>482.79409000000004</v>
      </c>
      <c r="C405" s="45">
        <f t="shared" si="44"/>
        <v>15.522178854469756</v>
      </c>
      <c r="D405" s="45">
        <f t="shared" si="45"/>
        <v>6.4675745226957311</v>
      </c>
      <c r="E405" s="45">
        <f t="shared" si="43"/>
        <v>6.1884206804248931</v>
      </c>
      <c r="F405" s="45">
        <f t="shared" si="46"/>
        <v>4.3162060412484375E-2</v>
      </c>
    </row>
    <row r="406" spans="1:6" x14ac:dyDescent="0.2">
      <c r="A406" s="49">
        <v>33907</v>
      </c>
      <c r="B406" s="46">
        <v>469.41744000000006</v>
      </c>
      <c r="C406" s="45">
        <f t="shared" si="44"/>
        <v>15.092109891169805</v>
      </c>
      <c r="D406" s="45">
        <f t="shared" si="45"/>
        <v>6.2883791213207516</v>
      </c>
      <c r="E406" s="45">
        <f t="shared" si="43"/>
        <v>6.1634310702009278</v>
      </c>
      <c r="F406" s="45">
        <f t="shared" si="46"/>
        <v>1.9869675270720772E-2</v>
      </c>
    </row>
    <row r="407" spans="1:6" x14ac:dyDescent="0.2">
      <c r="A407" s="49">
        <v>33877</v>
      </c>
      <c r="B407" s="46">
        <v>494.65166000000005</v>
      </c>
      <c r="C407" s="45">
        <f t="shared" si="44"/>
        <v>15.903408298101501</v>
      </c>
      <c r="D407" s="45">
        <f t="shared" si="45"/>
        <v>6.6264201242089591</v>
      </c>
      <c r="E407" s="45">
        <f t="shared" si="43"/>
        <v>6.0476838066989203</v>
      </c>
      <c r="F407" s="45">
        <f t="shared" si="46"/>
        <v>8.7337703716624304E-2</v>
      </c>
    </row>
    <row r="408" spans="1:6" x14ac:dyDescent="0.2">
      <c r="A408" s="49">
        <v>33847</v>
      </c>
      <c r="B408" s="46">
        <v>502.75166000000002</v>
      </c>
      <c r="C408" s="45">
        <f t="shared" si="44"/>
        <v>16.16382915106017</v>
      </c>
      <c r="D408" s="45">
        <f t="shared" si="45"/>
        <v>6.7349288129417371</v>
      </c>
      <c r="E408" s="45">
        <f t="shared" si="43"/>
        <v>5.8758725551382165</v>
      </c>
      <c r="F408" s="45">
        <f t="shared" si="46"/>
        <v>0.12755238869826971</v>
      </c>
    </row>
    <row r="409" spans="1:6" x14ac:dyDescent="0.2">
      <c r="A409" s="49">
        <v>33816</v>
      </c>
      <c r="B409" s="46">
        <v>475.77209000000005</v>
      </c>
      <c r="C409" s="45">
        <f t="shared" si="44"/>
        <v>15.296416480460399</v>
      </c>
      <c r="D409" s="45">
        <f t="shared" si="45"/>
        <v>6.3735068668584995</v>
      </c>
      <c r="E409" s="45">
        <f t="shared" si="43"/>
        <v>5.7514639772081457</v>
      </c>
      <c r="F409" s="45">
        <f t="shared" si="46"/>
        <v>9.7598214396677763E-2</v>
      </c>
    </row>
    <row r="410" spans="1:6" x14ac:dyDescent="0.2">
      <c r="A410" s="49">
        <v>33785</v>
      </c>
      <c r="B410" s="46">
        <v>466.09248000000002</v>
      </c>
      <c r="C410" s="45">
        <f t="shared" si="44"/>
        <v>14.985210024595304</v>
      </c>
      <c r="D410" s="45">
        <f t="shared" si="45"/>
        <v>6.2438375102480439</v>
      </c>
      <c r="E410" s="45">
        <f t="shared" si="43"/>
        <v>5.628370593948171</v>
      </c>
      <c r="F410" s="45">
        <f t="shared" si="46"/>
        <v>9.8571898338113986E-2</v>
      </c>
    </row>
    <row r="411" spans="1:6" x14ac:dyDescent="0.2">
      <c r="A411" s="49">
        <v>33753</v>
      </c>
      <c r="B411" s="46">
        <v>431.76815000000005</v>
      </c>
      <c r="C411" s="45">
        <f t="shared" si="44"/>
        <v>13.881658012763838</v>
      </c>
      <c r="D411" s="45">
        <f t="shared" si="45"/>
        <v>5.7840241719849326</v>
      </c>
      <c r="E411" s="45">
        <f t="shared" si="43"/>
        <v>5.5894571994389803</v>
      </c>
      <c r="F411" s="45">
        <f t="shared" si="46"/>
        <v>3.3638685932251507E-2</v>
      </c>
    </row>
    <row r="412" spans="1:6" x14ac:dyDescent="0.2">
      <c r="A412" s="49">
        <v>33724</v>
      </c>
      <c r="B412" s="46">
        <v>411.65575000000001</v>
      </c>
      <c r="C412" s="45">
        <f t="shared" si="44"/>
        <v>13.2350298197952</v>
      </c>
      <c r="D412" s="45">
        <f t="shared" si="45"/>
        <v>5.5145957582479994</v>
      </c>
      <c r="E412" s="45">
        <f t="shared" si="43"/>
        <v>5.6081725597367251</v>
      </c>
      <c r="F412" s="45">
        <f t="shared" si="46"/>
        <v>1.6968932192131393E-2</v>
      </c>
    </row>
    <row r="413" spans="1:6" x14ac:dyDescent="0.2">
      <c r="A413" s="49">
        <v>33694</v>
      </c>
      <c r="B413" s="46">
        <v>414.88580000000002</v>
      </c>
      <c r="C413" s="45">
        <f t="shared" si="44"/>
        <v>13.338878261288922</v>
      </c>
      <c r="D413" s="45">
        <f t="shared" si="45"/>
        <v>5.5578659422037182</v>
      </c>
      <c r="E413" s="45">
        <f t="shared" si="43"/>
        <v>5.6207492141199769</v>
      </c>
      <c r="F413" s="45">
        <f t="shared" si="46"/>
        <v>1.1314283678336643E-2</v>
      </c>
    </row>
    <row r="414" spans="1:6" x14ac:dyDescent="0.2">
      <c r="A414" s="49">
        <v>33662</v>
      </c>
      <c r="B414" s="46">
        <v>419.91697000000005</v>
      </c>
      <c r="C414" s="45">
        <f t="shared" si="44"/>
        <v>13.500634012249426</v>
      </c>
      <c r="D414" s="45">
        <f t="shared" si="45"/>
        <v>5.6252641717705938</v>
      </c>
      <c r="E414" s="45">
        <f t="shared" si="43"/>
        <v>5.6196204747073217</v>
      </c>
      <c r="F414" s="45">
        <f t="shared" si="46"/>
        <v>1.0032768045977229E-3</v>
      </c>
    </row>
    <row r="415" spans="1:6" x14ac:dyDescent="0.2">
      <c r="A415" s="49">
        <v>33634</v>
      </c>
      <c r="B415" s="46">
        <v>425.90278000000001</v>
      </c>
      <c r="C415" s="45">
        <f t="shared" si="44"/>
        <v>13.69308212902085</v>
      </c>
      <c r="D415" s="45">
        <f t="shared" si="45"/>
        <v>5.7054508870920202</v>
      </c>
      <c r="E415" s="45">
        <f t="shared" si="43"/>
        <v>5.5981628716111471</v>
      </c>
      <c r="F415" s="45">
        <f t="shared" si="46"/>
        <v>1.8804476211266821E-2</v>
      </c>
    </row>
    <row r="416" spans="1:6" x14ac:dyDescent="0.2">
      <c r="A416" s="49">
        <v>33603</v>
      </c>
      <c r="B416" s="46">
        <v>424.56636000000003</v>
      </c>
      <c r="C416" s="45">
        <f t="shared" si="44"/>
        <v>13.650115260340478</v>
      </c>
      <c r="D416" s="45">
        <f t="shared" si="45"/>
        <v>5.6875480251418651</v>
      </c>
      <c r="E416" s="45">
        <f t="shared" si="43"/>
        <v>5.5758165832284678</v>
      </c>
      <c r="F416" s="45">
        <f t="shared" si="46"/>
        <v>1.9644922806715166E-2</v>
      </c>
    </row>
    <row r="417" spans="1:6" x14ac:dyDescent="0.2">
      <c r="A417" s="49">
        <v>33571</v>
      </c>
      <c r="B417" s="46">
        <v>429.24265000000003</v>
      </c>
      <c r="C417" s="45">
        <f t="shared" si="44"/>
        <v>13.800461362869131</v>
      </c>
      <c r="D417" s="45">
        <f t="shared" si="45"/>
        <v>5.7501922345288046</v>
      </c>
      <c r="E417" s="45">
        <f t="shared" si="43"/>
        <v>5.5322226704033834</v>
      </c>
      <c r="F417" s="45">
        <f t="shared" si="46"/>
        <v>3.7906482989656515E-2</v>
      </c>
    </row>
    <row r="418" spans="1:6" x14ac:dyDescent="0.2">
      <c r="A418" s="49">
        <v>33542</v>
      </c>
      <c r="B418" s="46">
        <v>421.95429000000001</v>
      </c>
      <c r="C418" s="45">
        <f t="shared" si="44"/>
        <v>13.566135322391371</v>
      </c>
      <c r="D418" s="45">
        <f t="shared" si="45"/>
        <v>5.6525563843297375</v>
      </c>
      <c r="E418" s="45">
        <f t="shared" si="43"/>
        <v>5.5021392419217952</v>
      </c>
      <c r="F418" s="45">
        <f t="shared" si="46"/>
        <v>2.6610462980066026E-2</v>
      </c>
    </row>
    <row r="419" spans="1:6" x14ac:dyDescent="0.2">
      <c r="A419" s="49">
        <v>33511</v>
      </c>
      <c r="B419" s="46">
        <v>408.24867000000006</v>
      </c>
      <c r="C419" s="45">
        <f t="shared" si="44"/>
        <v>13.125489735881816</v>
      </c>
      <c r="D419" s="45">
        <f t="shared" si="45"/>
        <v>5.4689540566174237</v>
      </c>
      <c r="E419" s="45">
        <f t="shared" si="43"/>
        <v>5.5104355382478873</v>
      </c>
      <c r="F419" s="45">
        <f t="shared" si="46"/>
        <v>7.5849021953788591E-3</v>
      </c>
    </row>
    <row r="420" spans="1:6" x14ac:dyDescent="0.2">
      <c r="A420" s="49">
        <v>33480</v>
      </c>
      <c r="B420" s="46">
        <v>420.25357000000002</v>
      </c>
      <c r="C420" s="45">
        <f t="shared" si="44"/>
        <v>13.511455945472376</v>
      </c>
      <c r="D420" s="45">
        <f t="shared" si="45"/>
        <v>5.6297733106134897</v>
      </c>
      <c r="E420" s="45">
        <f t="shared" si="43"/>
        <v>5.4806010951564863</v>
      </c>
      <c r="F420" s="45">
        <f t="shared" si="46"/>
        <v>2.6497019902342708E-2</v>
      </c>
    </row>
    <row r="421" spans="1:6" x14ac:dyDescent="0.2">
      <c r="A421" s="49">
        <v>33450</v>
      </c>
      <c r="B421" s="46">
        <v>407.47776000000005</v>
      </c>
      <c r="C421" s="45">
        <f t="shared" si="44"/>
        <v>13.100704422331892</v>
      </c>
      <c r="D421" s="45">
        <f t="shared" si="45"/>
        <v>5.4586268426382887</v>
      </c>
      <c r="E421" s="45">
        <f t="shared" si="43"/>
        <v>5.4860946582860359</v>
      </c>
      <c r="F421" s="45">
        <f t="shared" si="46"/>
        <v>5.0320009847882145E-3</v>
      </c>
    </row>
    <row r="422" spans="1:6" x14ac:dyDescent="0.2">
      <c r="A422" s="49">
        <v>33417</v>
      </c>
      <c r="B422" s="46">
        <v>404.46206000000001</v>
      </c>
      <c r="C422" s="45">
        <f t="shared" si="44"/>
        <v>13.003747488224798</v>
      </c>
      <c r="D422" s="45">
        <f t="shared" si="45"/>
        <v>5.4182281200936657</v>
      </c>
      <c r="E422" s="45">
        <f t="shared" si="43"/>
        <v>5.5030612928341283</v>
      </c>
      <c r="F422" s="45">
        <f t="shared" si="46"/>
        <v>1.5656995397786245E-2</v>
      </c>
    </row>
    <row r="423" spans="1:6" x14ac:dyDescent="0.2">
      <c r="A423" s="49">
        <v>33389</v>
      </c>
      <c r="B423" s="46">
        <v>402.48548000000005</v>
      </c>
      <c r="C423" s="45">
        <f t="shared" si="44"/>
        <v>12.940199012972817</v>
      </c>
      <c r="D423" s="45">
        <f t="shared" si="45"/>
        <v>5.3917495887386737</v>
      </c>
      <c r="E423" s="45">
        <f t="shared" si="43"/>
        <v>5.5308892188579915</v>
      </c>
      <c r="F423" s="45">
        <f t="shared" si="46"/>
        <v>2.5806026008687016E-2</v>
      </c>
    </row>
    <row r="424" spans="1:6" x14ac:dyDescent="0.2">
      <c r="A424" s="49">
        <v>33358</v>
      </c>
      <c r="B424" s="46">
        <v>410.44231000000002</v>
      </c>
      <c r="C424" s="45">
        <f t="shared" si="44"/>
        <v>13.196016846978637</v>
      </c>
      <c r="D424" s="45">
        <f t="shared" si="45"/>
        <v>5.4983403529077659</v>
      </c>
      <c r="E424" s="45">
        <f t="shared" si="43"/>
        <v>5.539026435345547</v>
      </c>
      <c r="F424" s="45">
        <f t="shared" si="46"/>
        <v>7.3997024240713737E-3</v>
      </c>
    </row>
    <row r="425" spans="1:6" x14ac:dyDescent="0.2">
      <c r="A425" s="49">
        <v>33326</v>
      </c>
      <c r="B425" s="46">
        <v>418.36449000000005</v>
      </c>
      <c r="C425" s="45">
        <f t="shared" si="44"/>
        <v>13.4507206584468</v>
      </c>
      <c r="D425" s="45">
        <f t="shared" si="45"/>
        <v>5.6044669410195</v>
      </c>
      <c r="E425" s="45">
        <f t="shared" si="43"/>
        <v>5.5226663089270591</v>
      </c>
      <c r="F425" s="45">
        <f t="shared" si="46"/>
        <v>1.4595613276569832E-2</v>
      </c>
    </row>
    <row r="426" spans="1:6" x14ac:dyDescent="0.2">
      <c r="A426" s="49">
        <v>33297</v>
      </c>
      <c r="B426" s="46">
        <v>410.14197000000001</v>
      </c>
      <c r="C426" s="45">
        <f t="shared" si="44"/>
        <v>13.18636069895671</v>
      </c>
      <c r="D426" s="45">
        <f t="shared" si="45"/>
        <v>5.4943169578986293</v>
      </c>
      <c r="E426" s="45">
        <f t="shared" si="43"/>
        <v>5.529753646684167</v>
      </c>
      <c r="F426" s="45">
        <f t="shared" si="46"/>
        <v>6.4496986717509919E-3</v>
      </c>
    </row>
    <row r="427" spans="1:6" x14ac:dyDescent="0.2">
      <c r="A427" s="49">
        <v>33269</v>
      </c>
      <c r="B427" s="46">
        <v>413.54124000000002</v>
      </c>
      <c r="C427" s="45">
        <f t="shared" si="44"/>
        <v>13.295649685726687</v>
      </c>
      <c r="D427" s="45">
        <f t="shared" si="45"/>
        <v>5.5398540357194523</v>
      </c>
      <c r="E427" s="45">
        <f t="shared" si="43"/>
        <v>5.5272285494253452</v>
      </c>
      <c r="F427" s="45">
        <f t="shared" si="46"/>
        <v>2.279028691496461E-3</v>
      </c>
    </row>
    <row r="428" spans="1:6" x14ac:dyDescent="0.2">
      <c r="A428" s="49">
        <v>33238</v>
      </c>
      <c r="B428" s="46">
        <v>407.14555000000001</v>
      </c>
      <c r="C428" s="45">
        <f t="shared" si="44"/>
        <v>13.090023630781102</v>
      </c>
      <c r="D428" s="45">
        <f t="shared" si="45"/>
        <v>5.4541765128254589</v>
      </c>
      <c r="E428" s="45">
        <f t="shared" si="43"/>
        <v>5.5454915585753168</v>
      </c>
      <c r="F428" s="45">
        <f t="shared" si="46"/>
        <v>1.6742224153386168E-2</v>
      </c>
    </row>
    <row r="429" spans="1:6" x14ac:dyDescent="0.2">
      <c r="A429" s="49">
        <v>33207</v>
      </c>
      <c r="B429" s="46">
        <v>404.50547000000006</v>
      </c>
      <c r="C429" s="45">
        <f t="shared" si="44"/>
        <v>13.005143151092323</v>
      </c>
      <c r="D429" s="45">
        <f t="shared" si="45"/>
        <v>5.4188096462884685</v>
      </c>
      <c r="E429" s="45">
        <f t="shared" si="43"/>
        <v>5.577162036647028</v>
      </c>
      <c r="F429" s="45">
        <f t="shared" si="46"/>
        <v>2.9222726151124461E-2</v>
      </c>
    </row>
    <row r="430" spans="1:6" x14ac:dyDescent="0.2">
      <c r="A430" s="49">
        <v>33177</v>
      </c>
      <c r="B430" s="46">
        <v>396.53436000000005</v>
      </c>
      <c r="C430" s="45">
        <f t="shared" si="44"/>
        <v>12.748866204767953</v>
      </c>
      <c r="D430" s="45">
        <f t="shared" si="45"/>
        <v>5.3120275853199805</v>
      </c>
      <c r="E430" s="45">
        <f t="shared" si="43"/>
        <v>5.6434456494787897</v>
      </c>
      <c r="F430" s="45">
        <f t="shared" si="46"/>
        <v>6.2390124831937503E-2</v>
      </c>
    </row>
    <row r="431" spans="1:6" x14ac:dyDescent="0.2">
      <c r="A431" s="49">
        <v>33144</v>
      </c>
      <c r="B431" s="46">
        <v>407.93206000000004</v>
      </c>
      <c r="C431" s="45">
        <f t="shared" si="44"/>
        <v>13.11531049560339</v>
      </c>
      <c r="D431" s="45">
        <f t="shared" si="45"/>
        <v>5.4647127065014125</v>
      </c>
      <c r="E431" s="45">
        <f t="shared" si="43"/>
        <v>5.6881288852231338</v>
      </c>
      <c r="F431" s="45">
        <f t="shared" si="46"/>
        <v>4.0883426214871503E-2</v>
      </c>
    </row>
    <row r="432" spans="1:6" x14ac:dyDescent="0.2">
      <c r="A432" s="49">
        <v>33116</v>
      </c>
      <c r="B432" s="46">
        <v>422.43823000000003</v>
      </c>
      <c r="C432" s="45">
        <f t="shared" si="44"/>
        <v>13.581694343080361</v>
      </c>
      <c r="D432" s="45">
        <f t="shared" si="45"/>
        <v>5.6590393096168166</v>
      </c>
      <c r="E432" s="45">
        <f t="shared" si="43"/>
        <v>5.6954012791247131</v>
      </c>
      <c r="F432" s="45">
        <f t="shared" si="46"/>
        <v>6.4254668537297418E-3</v>
      </c>
    </row>
    <row r="433" spans="1:6" x14ac:dyDescent="0.2">
      <c r="A433" s="49">
        <v>33085</v>
      </c>
      <c r="B433" s="46">
        <v>419.30289000000005</v>
      </c>
      <c r="C433" s="45">
        <f t="shared" si="44"/>
        <v>13.480890896522901</v>
      </c>
      <c r="D433" s="45">
        <f t="shared" si="45"/>
        <v>5.6170378735512081</v>
      </c>
      <c r="E433" s="45">
        <f t="shared" si="43"/>
        <v>5.7149921305180893</v>
      </c>
      <c r="F433" s="45">
        <f t="shared" si="46"/>
        <v>1.7438774523510999E-2</v>
      </c>
    </row>
    <row r="434" spans="1:6" x14ac:dyDescent="0.2">
      <c r="A434" s="49">
        <v>33053</v>
      </c>
      <c r="B434" s="46">
        <v>410.51973000000004</v>
      </c>
      <c r="C434" s="45">
        <f t="shared" si="44"/>
        <v>13.198505955921361</v>
      </c>
      <c r="D434" s="45">
        <f t="shared" si="45"/>
        <v>5.4993774816338998</v>
      </c>
      <c r="E434" s="45">
        <f t="shared" si="43"/>
        <v>5.7688957927391353</v>
      </c>
      <c r="F434" s="45">
        <f t="shared" si="46"/>
        <v>4.9008876369250415E-2</v>
      </c>
    </row>
    <row r="435" spans="1:6" x14ac:dyDescent="0.2">
      <c r="A435" s="49">
        <v>33024</v>
      </c>
      <c r="B435" s="46">
        <v>413.46118000000001</v>
      </c>
      <c r="C435" s="45">
        <f t="shared" si="44"/>
        <v>13.293075698876333</v>
      </c>
      <c r="D435" s="45">
        <f t="shared" si="45"/>
        <v>5.538781541198472</v>
      </c>
      <c r="E435" s="45">
        <f t="shared" si="43"/>
        <v>5.8264243556243009</v>
      </c>
      <c r="F435" s="45">
        <f t="shared" si="46"/>
        <v>5.1932507589672744E-2</v>
      </c>
    </row>
    <row r="436" spans="1:6" x14ac:dyDescent="0.2">
      <c r="A436" s="49">
        <v>32993</v>
      </c>
      <c r="B436" s="46">
        <v>420.47379000000001</v>
      </c>
      <c r="C436" s="45">
        <f t="shared" si="44"/>
        <v>13.518536177600591</v>
      </c>
      <c r="D436" s="45">
        <f t="shared" si="45"/>
        <v>5.6327234073335797</v>
      </c>
      <c r="E436" s="45">
        <f t="shared" si="43"/>
        <v>5.8748495926969806</v>
      </c>
      <c r="F436" s="45">
        <f t="shared" si="46"/>
        <v>4.2985633743024262E-2</v>
      </c>
    </row>
    <row r="437" spans="1:6" x14ac:dyDescent="0.2">
      <c r="A437" s="49">
        <v>32962</v>
      </c>
      <c r="B437" s="46">
        <v>420.01571000000001</v>
      </c>
      <c r="C437" s="45">
        <f t="shared" si="44"/>
        <v>13.503808574597715</v>
      </c>
      <c r="D437" s="45">
        <f t="shared" si="45"/>
        <v>5.6265869060823812</v>
      </c>
      <c r="E437" s="45">
        <f t="shared" si="43"/>
        <v>5.9369152643506302</v>
      </c>
      <c r="F437" s="45">
        <f t="shared" si="46"/>
        <v>5.5153926074221267E-2</v>
      </c>
    </row>
    <row r="438" spans="1:6" x14ac:dyDescent="0.2">
      <c r="A438" s="49">
        <v>32932</v>
      </c>
      <c r="B438" s="46">
        <v>443.50742000000002</v>
      </c>
      <c r="C438" s="45">
        <f t="shared" si="44"/>
        <v>14.259084025913483</v>
      </c>
      <c r="D438" s="45">
        <f t="shared" si="45"/>
        <v>5.9412850107972845</v>
      </c>
      <c r="E438" s="45">
        <f t="shared" si="43"/>
        <v>5.9358228277389662</v>
      </c>
      <c r="F438" s="45">
        <f t="shared" si="46"/>
        <v>9.1936055051925001E-4</v>
      </c>
    </row>
    <row r="439" spans="1:6" x14ac:dyDescent="0.2">
      <c r="A439" s="49">
        <v>32904</v>
      </c>
      <c r="B439" s="46">
        <v>438.51404000000002</v>
      </c>
      <c r="C439" s="45">
        <f t="shared" si="44"/>
        <v>14.098543250759562</v>
      </c>
      <c r="D439" s="45">
        <f t="shared" si="45"/>
        <v>5.8743930211498174</v>
      </c>
      <c r="E439" s="45">
        <f t="shared" si="43"/>
        <v>5.9511802793862527</v>
      </c>
      <c r="F439" s="45">
        <f t="shared" si="46"/>
        <v>1.3071522106194628E-2</v>
      </c>
    </row>
    <row r="440" spans="1:6" x14ac:dyDescent="0.2">
      <c r="A440" s="49">
        <v>32871</v>
      </c>
      <c r="B440" s="46">
        <v>444.26338000000004</v>
      </c>
      <c r="C440" s="45">
        <f t="shared" si="44"/>
        <v>14.283388686160723</v>
      </c>
      <c r="D440" s="45">
        <f t="shared" si="45"/>
        <v>5.9514119525669686</v>
      </c>
      <c r="E440" s="45">
        <f t="shared" si="43"/>
        <v>5.9511223610910733</v>
      </c>
      <c r="F440" s="45">
        <f t="shared" si="46"/>
        <v>4.8659289291921686E-5</v>
      </c>
    </row>
    <row r="441" spans="1:6" x14ac:dyDescent="0.2">
      <c r="A441" s="49">
        <v>32842</v>
      </c>
      <c r="B441" s="46">
        <v>441.42592000000002</v>
      </c>
      <c r="C441" s="45">
        <f t="shared" si="44"/>
        <v>14.192162296847622</v>
      </c>
      <c r="D441" s="45">
        <f t="shared" si="45"/>
        <v>5.9134009570198423</v>
      </c>
      <c r="E441" s="45">
        <f t="shared" si="43"/>
        <v>5.9605527121088802</v>
      </c>
      <c r="F441" s="45">
        <f t="shared" si="46"/>
        <v>7.9737118168967912E-3</v>
      </c>
    </row>
    <row r="442" spans="1:6" x14ac:dyDescent="0.2">
      <c r="A442" s="49">
        <v>32812</v>
      </c>
      <c r="B442" s="46">
        <v>450.48993000000002</v>
      </c>
      <c r="C442" s="45">
        <f t="shared" si="44"/>
        <v>14.483576767887859</v>
      </c>
      <c r="D442" s="45">
        <f t="shared" si="45"/>
        <v>6.0348236532866082</v>
      </c>
      <c r="E442" s="45">
        <f t="shared" si="43"/>
        <v>5.9419849768144477</v>
      </c>
      <c r="F442" s="45">
        <f t="shared" si="46"/>
        <v>1.538382590874878E-2</v>
      </c>
    </row>
    <row r="443" spans="1:6" x14ac:dyDescent="0.2">
      <c r="A443" s="49">
        <v>32780</v>
      </c>
      <c r="B443" s="46">
        <v>451.91846000000004</v>
      </c>
      <c r="C443" s="45">
        <f t="shared" si="44"/>
        <v>14.529505039625766</v>
      </c>
      <c r="D443" s="45">
        <f t="shared" si="45"/>
        <v>6.0539604331774024</v>
      </c>
      <c r="E443" s="45">
        <f t="shared" si="43"/>
        <v>5.9139911127237088</v>
      </c>
      <c r="F443" s="45">
        <f t="shared" si="46"/>
        <v>2.3120289932293318E-2</v>
      </c>
    </row>
    <row r="444" spans="1:6" x14ac:dyDescent="0.2">
      <c r="A444" s="49">
        <v>32751</v>
      </c>
      <c r="B444" s="46">
        <v>419.33655000000005</v>
      </c>
      <c r="C444" s="45">
        <f t="shared" si="44"/>
        <v>13.481973089845196</v>
      </c>
      <c r="D444" s="45">
        <f t="shared" si="45"/>
        <v>5.617488787435498</v>
      </c>
      <c r="E444" s="45">
        <f t="shared" si="43"/>
        <v>5.988116694045762</v>
      </c>
      <c r="F444" s="45">
        <f t="shared" si="46"/>
        <v>6.5977507145050032E-2</v>
      </c>
    </row>
    <row r="445" spans="1:6" x14ac:dyDescent="0.2">
      <c r="A445" s="49">
        <v>32720</v>
      </c>
      <c r="B445" s="46">
        <v>412.95808000000005</v>
      </c>
      <c r="C445" s="45">
        <f t="shared" si="44"/>
        <v>13.276900670342567</v>
      </c>
      <c r="D445" s="45">
        <f t="shared" si="45"/>
        <v>5.5320419459760695</v>
      </c>
      <c r="E445" s="45">
        <f t="shared" si="43"/>
        <v>6.1021353810631842</v>
      </c>
      <c r="F445" s="45">
        <f t="shared" si="46"/>
        <v>0.10305298489318086</v>
      </c>
    </row>
    <row r="446" spans="1:6" x14ac:dyDescent="0.2">
      <c r="A446" s="49">
        <v>32689</v>
      </c>
      <c r="B446" s="46">
        <v>433.49382000000003</v>
      </c>
      <c r="C446" s="45">
        <f t="shared" si="44"/>
        <v>13.937139550211391</v>
      </c>
      <c r="D446" s="45">
        <f t="shared" si="45"/>
        <v>5.8071414792547458</v>
      </c>
      <c r="E446" s="45">
        <f t="shared" si="43"/>
        <v>6.1758838565152931</v>
      </c>
      <c r="F446" s="45">
        <f t="shared" si="46"/>
        <v>6.3498087411479706E-2</v>
      </c>
    </row>
    <row r="447" spans="1:6" x14ac:dyDescent="0.2">
      <c r="A447" s="49">
        <v>32659</v>
      </c>
      <c r="B447" s="46">
        <v>435.36395000000005</v>
      </c>
      <c r="C447" s="45">
        <f t="shared" si="44"/>
        <v>13.997265581043935</v>
      </c>
      <c r="D447" s="45">
        <f t="shared" si="45"/>
        <v>5.8321939921016401</v>
      </c>
      <c r="E447" s="45">
        <f t="shared" si="43"/>
        <v>6.261806322618706</v>
      </c>
      <c r="F447" s="45">
        <f t="shared" si="46"/>
        <v>7.3662215471377759E-2</v>
      </c>
    </row>
    <row r="448" spans="1:6" x14ac:dyDescent="0.2">
      <c r="A448" s="49">
        <v>32626</v>
      </c>
      <c r="B448" s="46">
        <v>463.60629000000006</v>
      </c>
      <c r="C448" s="45">
        <f t="shared" si="44"/>
        <v>14.905277219605512</v>
      </c>
      <c r="D448" s="45">
        <f t="shared" si="45"/>
        <v>6.2105321748356301</v>
      </c>
      <c r="E448" s="45">
        <f t="shared" si="43"/>
        <v>6.2746248595644749</v>
      </c>
      <c r="F448" s="45">
        <f t="shared" si="46"/>
        <v>1.0319998822088233E-2</v>
      </c>
    </row>
    <row r="449" spans="1:6" x14ac:dyDescent="0.2">
      <c r="A449" s="49">
        <v>32598</v>
      </c>
      <c r="B449" s="46">
        <v>498.56478000000004</v>
      </c>
      <c r="C449" s="45">
        <f t="shared" si="44"/>
        <v>16.02921793367306</v>
      </c>
      <c r="D449" s="45">
        <f t="shared" si="45"/>
        <v>6.6788408056971083</v>
      </c>
      <c r="E449" s="45">
        <f t="shared" si="43"/>
        <v>6.1735708730313164</v>
      </c>
      <c r="F449" s="45">
        <f t="shared" si="46"/>
        <v>7.5652339584856149E-2</v>
      </c>
    </row>
    <row r="450" spans="1:6" x14ac:dyDescent="0.2">
      <c r="A450" s="49">
        <v>32567</v>
      </c>
      <c r="B450" s="46">
        <v>480.51071000000002</v>
      </c>
      <c r="C450" s="45">
        <f t="shared" si="44"/>
        <v>15.448766537527931</v>
      </c>
      <c r="D450" s="45">
        <f t="shared" si="45"/>
        <v>6.4369860573033044</v>
      </c>
      <c r="E450" s="45">
        <f t="shared" ref="E450:E513" si="47">($T$1*D451) + ((1-$T$1)*E451)</f>
        <v>6.1077170769633193</v>
      </c>
      <c r="F450" s="45">
        <f t="shared" si="46"/>
        <v>5.1152663281972099E-2</v>
      </c>
    </row>
    <row r="451" spans="1:6" x14ac:dyDescent="0.2">
      <c r="A451" s="49">
        <v>32539</v>
      </c>
      <c r="B451" s="46">
        <v>475.59239000000002</v>
      </c>
      <c r="C451" s="45">
        <f t="shared" si="44"/>
        <v>15.290638995611427</v>
      </c>
      <c r="D451" s="45">
        <f t="shared" si="45"/>
        <v>6.3710995815047609</v>
      </c>
      <c r="E451" s="45">
        <f t="shared" si="47"/>
        <v>6.0418714508279585</v>
      </c>
      <c r="F451" s="45">
        <f t="shared" si="46"/>
        <v>5.1675244824700019E-2</v>
      </c>
    </row>
    <row r="452" spans="1:6" x14ac:dyDescent="0.2">
      <c r="A452" s="49">
        <v>32507</v>
      </c>
      <c r="B452" s="46">
        <v>461.28504000000004</v>
      </c>
      <c r="C452" s="45">
        <f t="shared" si="44"/>
        <v>14.8306473547993</v>
      </c>
      <c r="D452" s="45">
        <f t="shared" si="45"/>
        <v>6.1794363978330411</v>
      </c>
      <c r="E452" s="45">
        <f t="shared" si="47"/>
        <v>6.0074802140766881</v>
      </c>
      <c r="F452" s="45">
        <f t="shared" si="46"/>
        <v>2.7827162978269884E-2</v>
      </c>
    </row>
    <row r="453" spans="1:6" x14ac:dyDescent="0.2">
      <c r="A453" s="49">
        <v>32477</v>
      </c>
      <c r="B453" s="46">
        <v>430.98184000000003</v>
      </c>
      <c r="C453" s="45">
        <f t="shared" si="44"/>
        <v>13.856377578086068</v>
      </c>
      <c r="D453" s="45">
        <f t="shared" si="45"/>
        <v>5.7734906575358611</v>
      </c>
      <c r="E453" s="45">
        <f t="shared" si="47"/>
        <v>6.0659776032118948</v>
      </c>
      <c r="F453" s="45">
        <f t="shared" si="46"/>
        <v>5.0660330643172428E-2</v>
      </c>
    </row>
    <row r="454" spans="1:6" x14ac:dyDescent="0.2">
      <c r="A454" s="49">
        <v>32447</v>
      </c>
      <c r="B454" s="46">
        <v>427.81287000000003</v>
      </c>
      <c r="C454" s="45">
        <f t="shared" si="44"/>
        <v>13.754492902727989</v>
      </c>
      <c r="D454" s="45">
        <f t="shared" si="45"/>
        <v>5.7310387094699955</v>
      </c>
      <c r="E454" s="45">
        <f t="shared" si="47"/>
        <v>6.1497123266473688</v>
      </c>
      <c r="F454" s="45">
        <f t="shared" si="46"/>
        <v>7.3053706038585117E-2</v>
      </c>
    </row>
    <row r="455" spans="1:6" x14ac:dyDescent="0.2">
      <c r="A455" s="49">
        <v>32416</v>
      </c>
      <c r="B455" s="46">
        <v>429.32855000000001</v>
      </c>
      <c r="C455" s="45">
        <f t="shared" si="44"/>
        <v>13.803223109939395</v>
      </c>
      <c r="D455" s="45">
        <f t="shared" si="45"/>
        <v>5.7513429624747481</v>
      </c>
      <c r="E455" s="45">
        <f t="shared" si="47"/>
        <v>6.2493046676905237</v>
      </c>
      <c r="F455" s="45">
        <f t="shared" si="46"/>
        <v>8.6581813754592632E-2</v>
      </c>
    </row>
    <row r="456" spans="1:6" x14ac:dyDescent="0.2">
      <c r="A456" s="49">
        <v>32386</v>
      </c>
      <c r="B456" s="46">
        <v>444.27171000000004</v>
      </c>
      <c r="C456" s="45">
        <f t="shared" si="44"/>
        <v>14.283656501679877</v>
      </c>
      <c r="D456" s="45">
        <f t="shared" si="45"/>
        <v>5.9515235423666155</v>
      </c>
      <c r="E456" s="45">
        <f t="shared" si="47"/>
        <v>6.3237499490215008</v>
      </c>
      <c r="F456" s="45">
        <f t="shared" si="46"/>
        <v>6.2543045323629837E-2</v>
      </c>
    </row>
    <row r="457" spans="1:6" x14ac:dyDescent="0.2">
      <c r="A457" s="49">
        <v>32353</v>
      </c>
      <c r="B457" s="46">
        <v>440.31948000000006</v>
      </c>
      <c r="C457" s="45">
        <f t="shared" si="44"/>
        <v>14.156589451347921</v>
      </c>
      <c r="D457" s="45">
        <f t="shared" si="45"/>
        <v>5.8985789380616342</v>
      </c>
      <c r="E457" s="45">
        <f t="shared" si="47"/>
        <v>6.4300427017614661</v>
      </c>
      <c r="F457" s="45">
        <f t="shared" si="46"/>
        <v>9.0100305392281352E-2</v>
      </c>
    </row>
    <row r="458" spans="1:6" x14ac:dyDescent="0.2">
      <c r="A458" s="49">
        <v>32324</v>
      </c>
      <c r="B458" s="46">
        <v>443.26952000000006</v>
      </c>
      <c r="C458" s="45">
        <f t="shared" si="44"/>
        <v>14.25143536900992</v>
      </c>
      <c r="D458" s="45">
        <f t="shared" si="45"/>
        <v>5.9380980704208</v>
      </c>
      <c r="E458" s="45">
        <f t="shared" si="47"/>
        <v>6.5530288595966324</v>
      </c>
      <c r="F458" s="45">
        <f t="shared" si="46"/>
        <v>0.10355685976945404</v>
      </c>
    </row>
    <row r="459" spans="1:6" x14ac:dyDescent="0.2">
      <c r="A459" s="49">
        <v>32294</v>
      </c>
      <c r="B459" s="46">
        <v>456.94457000000006</v>
      </c>
      <c r="C459" s="45">
        <f t="shared" si="44"/>
        <v>14.691098107929978</v>
      </c>
      <c r="D459" s="45">
        <f t="shared" si="45"/>
        <v>6.1212908783041575</v>
      </c>
      <c r="E459" s="45">
        <f t="shared" si="47"/>
        <v>6.6609633549197502</v>
      </c>
      <c r="F459" s="45">
        <f t="shared" si="46"/>
        <v>8.8163181156505274E-2</v>
      </c>
    </row>
    <row r="460" spans="1:6" x14ac:dyDescent="0.2">
      <c r="A460" s="49">
        <v>32262</v>
      </c>
      <c r="B460" s="46">
        <v>466.07934000000006</v>
      </c>
      <c r="C460" s="45">
        <f t="shared" si="44"/>
        <v>14.984787564100506</v>
      </c>
      <c r="D460" s="45">
        <f t="shared" si="45"/>
        <v>6.2436614850418772</v>
      </c>
      <c r="E460" s="45">
        <f t="shared" si="47"/>
        <v>6.765288822389218</v>
      </c>
      <c r="F460" s="45">
        <f t="shared" si="46"/>
        <v>8.3545102276447666E-2</v>
      </c>
    </row>
    <row r="461" spans="1:6" x14ac:dyDescent="0.2">
      <c r="A461" s="49">
        <v>32233</v>
      </c>
      <c r="B461" s="46">
        <v>461.23634000000004</v>
      </c>
      <c r="C461" s="45">
        <f t="shared" si="44"/>
        <v>14.82908161460929</v>
      </c>
      <c r="D461" s="45">
        <f t="shared" si="45"/>
        <v>6.1787840060872048</v>
      </c>
      <c r="E461" s="45">
        <f t="shared" si="47"/>
        <v>6.9119150264647207</v>
      </c>
      <c r="F461" s="45">
        <f t="shared" si="46"/>
        <v>0.11865296143306693</v>
      </c>
    </row>
    <row r="462" spans="1:6" x14ac:dyDescent="0.2">
      <c r="A462" s="49">
        <v>32202</v>
      </c>
      <c r="B462" s="46">
        <v>482.01915000000002</v>
      </c>
      <c r="C462" s="45">
        <f t="shared" ref="C462:C525" si="48">B462/(31.1035)</f>
        <v>15.497263973507804</v>
      </c>
      <c r="D462" s="45">
        <f t="shared" ref="D462:D525" si="49">(C462/24)*10</f>
        <v>6.457193322294918</v>
      </c>
      <c r="E462" s="45">
        <f t="shared" si="47"/>
        <v>7.0255954525071713</v>
      </c>
      <c r="F462" s="45">
        <f t="shared" si="46"/>
        <v>8.8026190612834301E-2</v>
      </c>
    </row>
    <row r="463" spans="1:6" x14ac:dyDescent="0.2">
      <c r="A463" s="49">
        <v>32171</v>
      </c>
      <c r="B463" s="46">
        <v>501.65226000000007</v>
      </c>
      <c r="C463" s="45">
        <f t="shared" si="48"/>
        <v>16.128482646647484</v>
      </c>
      <c r="D463" s="45">
        <f t="shared" si="49"/>
        <v>6.720201102769785</v>
      </c>
      <c r="E463" s="45">
        <f t="shared" si="47"/>
        <v>7.1019440399415172</v>
      </c>
      <c r="F463" s="45">
        <f t="shared" ref="F463:F526" si="50">ABS((D463-E463)/D463)</f>
        <v>5.6805284742802387E-2</v>
      </c>
    </row>
    <row r="464" spans="1:6" x14ac:dyDescent="0.2">
      <c r="A464" s="49">
        <v>32142</v>
      </c>
      <c r="B464" s="46">
        <v>511.62044000000003</v>
      </c>
      <c r="C464" s="45">
        <f t="shared" si="48"/>
        <v>16.448966836529653</v>
      </c>
      <c r="D464" s="45">
        <f t="shared" si="49"/>
        <v>6.8537361818873554</v>
      </c>
      <c r="E464" s="45">
        <f t="shared" si="47"/>
        <v>7.1639960044550577</v>
      </c>
      <c r="F464" s="45">
        <f t="shared" si="50"/>
        <v>4.5268713929730524E-2</v>
      </c>
    </row>
    <row r="465" spans="1:6" x14ac:dyDescent="0.2">
      <c r="A465" s="49">
        <v>32111</v>
      </c>
      <c r="B465" s="46">
        <v>489.55432000000002</v>
      </c>
      <c r="C465" s="45">
        <f t="shared" si="48"/>
        <v>15.739525133827383</v>
      </c>
      <c r="D465" s="45">
        <f t="shared" si="49"/>
        <v>6.5581354724280763</v>
      </c>
      <c r="E465" s="45">
        <f t="shared" si="47"/>
        <v>7.3154611374618019</v>
      </c>
      <c r="F465" s="45">
        <f t="shared" si="50"/>
        <v>0.11547880769125593</v>
      </c>
    </row>
    <row r="466" spans="1:6" x14ac:dyDescent="0.2">
      <c r="A466" s="49">
        <v>32080</v>
      </c>
      <c r="B466" s="46">
        <v>507.60181000000006</v>
      </c>
      <c r="C466" s="45">
        <f t="shared" si="48"/>
        <v>16.319764978217886</v>
      </c>
      <c r="D466" s="45">
        <f t="shared" si="49"/>
        <v>6.7999020742574521</v>
      </c>
      <c r="E466" s="45">
        <f t="shared" si="47"/>
        <v>7.4443509032628894</v>
      </c>
      <c r="F466" s="45">
        <f t="shared" si="50"/>
        <v>9.4773251433302591E-2</v>
      </c>
    </row>
    <row r="467" spans="1:6" x14ac:dyDescent="0.2">
      <c r="A467" s="49">
        <v>32050</v>
      </c>
      <c r="B467" s="46">
        <v>527.57528000000002</v>
      </c>
      <c r="C467" s="45">
        <f t="shared" si="48"/>
        <v>16.961926471297442</v>
      </c>
      <c r="D467" s="45">
        <f t="shared" si="49"/>
        <v>7.0674693630406002</v>
      </c>
      <c r="E467" s="45">
        <f t="shared" si="47"/>
        <v>7.5385712883184617</v>
      </c>
      <c r="F467" s="45">
        <f t="shared" si="50"/>
        <v>6.6657795185005475E-2</v>
      </c>
    </row>
    <row r="468" spans="1:6" x14ac:dyDescent="0.2">
      <c r="A468" s="49">
        <v>32020</v>
      </c>
      <c r="B468" s="46">
        <v>528.50454000000002</v>
      </c>
      <c r="C468" s="45">
        <f t="shared" si="48"/>
        <v>16.991802851769094</v>
      </c>
      <c r="D468" s="45">
        <f t="shared" si="49"/>
        <v>7.0799178549037887</v>
      </c>
      <c r="E468" s="45">
        <f t="shared" si="47"/>
        <v>7.6532346466721295</v>
      </c>
      <c r="F468" s="45">
        <f t="shared" si="50"/>
        <v>8.0977887528912842E-2</v>
      </c>
    </row>
    <row r="469" spans="1:6" x14ac:dyDescent="0.2">
      <c r="A469" s="49">
        <v>31989</v>
      </c>
      <c r="B469" s="46">
        <v>549.02047000000005</v>
      </c>
      <c r="C469" s="45">
        <f t="shared" si="48"/>
        <v>17.651404825823462</v>
      </c>
      <c r="D469" s="45">
        <f t="shared" si="49"/>
        <v>7.3547520107597766</v>
      </c>
      <c r="E469" s="45">
        <f t="shared" si="47"/>
        <v>7.7278553056502171</v>
      </c>
      <c r="F469" s="45">
        <f t="shared" si="50"/>
        <v>5.0729554761955509E-2</v>
      </c>
    </row>
    <row r="470" spans="1:6" x14ac:dyDescent="0.2">
      <c r="A470" s="49">
        <v>31958</v>
      </c>
      <c r="B470" s="46">
        <v>557.78907000000004</v>
      </c>
      <c r="C470" s="45">
        <f t="shared" si="48"/>
        <v>17.933321651904127</v>
      </c>
      <c r="D470" s="45">
        <f t="shared" si="49"/>
        <v>7.4722173549600521</v>
      </c>
      <c r="E470" s="45">
        <f t="shared" si="47"/>
        <v>7.7917647933227583</v>
      </c>
      <c r="F470" s="45">
        <f t="shared" si="50"/>
        <v>4.2764740796865444E-2</v>
      </c>
    </row>
    <row r="471" spans="1:6" x14ac:dyDescent="0.2">
      <c r="A471" s="49">
        <v>31926</v>
      </c>
      <c r="B471" s="46">
        <v>558.12632000000008</v>
      </c>
      <c r="C471" s="45">
        <f t="shared" si="48"/>
        <v>17.94416448309676</v>
      </c>
      <c r="D471" s="45">
        <f t="shared" si="49"/>
        <v>7.4767352012903165</v>
      </c>
      <c r="E471" s="45">
        <f t="shared" si="47"/>
        <v>7.8705221913308678</v>
      </c>
      <c r="F471" s="45">
        <f t="shared" si="50"/>
        <v>5.2668307682287918E-2</v>
      </c>
    </row>
    <row r="472" spans="1:6" x14ac:dyDescent="0.2">
      <c r="A472" s="49">
        <v>31897</v>
      </c>
      <c r="B472" s="46">
        <v>552.20181000000002</v>
      </c>
      <c r="C472" s="45">
        <f t="shared" si="48"/>
        <v>17.753687205619947</v>
      </c>
      <c r="D472" s="45">
        <f t="shared" si="49"/>
        <v>7.3973696690083113</v>
      </c>
      <c r="E472" s="45">
        <f t="shared" si="47"/>
        <v>7.9888103219115063</v>
      </c>
      <c r="F472" s="45">
        <f t="shared" si="50"/>
        <v>7.9952831799263505E-2</v>
      </c>
    </row>
    <row r="473" spans="1:6" x14ac:dyDescent="0.2">
      <c r="A473" s="49">
        <v>31867</v>
      </c>
      <c r="B473" s="46">
        <v>561.2555000000001</v>
      </c>
      <c r="C473" s="45">
        <f t="shared" si="48"/>
        <v>18.044769881203084</v>
      </c>
      <c r="D473" s="45">
        <f t="shared" si="49"/>
        <v>7.5186541171679524</v>
      </c>
      <c r="E473" s="45">
        <f t="shared" si="47"/>
        <v>8.1063493730973946</v>
      </c>
      <c r="F473" s="45">
        <f t="shared" si="50"/>
        <v>7.8164954361646985E-2</v>
      </c>
    </row>
    <row r="474" spans="1:6" x14ac:dyDescent="0.2">
      <c r="A474" s="49">
        <v>31835</v>
      </c>
      <c r="B474" s="46">
        <v>612.85921000000008</v>
      </c>
      <c r="C474" s="45">
        <f t="shared" si="48"/>
        <v>19.703866445898374</v>
      </c>
      <c r="D474" s="45">
        <f t="shared" si="49"/>
        <v>8.2099443524576561</v>
      </c>
      <c r="E474" s="45">
        <f t="shared" si="47"/>
        <v>8.0804506282573278</v>
      </c>
      <c r="F474" s="45">
        <f t="shared" si="50"/>
        <v>1.5772789514896544E-2</v>
      </c>
    </row>
    <row r="475" spans="1:6" x14ac:dyDescent="0.2">
      <c r="A475" s="49">
        <v>31807</v>
      </c>
      <c r="B475" s="46">
        <v>636.17365000000007</v>
      </c>
      <c r="C475" s="45">
        <f t="shared" si="48"/>
        <v>20.453442538621058</v>
      </c>
      <c r="D475" s="45">
        <f t="shared" si="49"/>
        <v>8.5222677244254399</v>
      </c>
      <c r="E475" s="45">
        <f t="shared" si="47"/>
        <v>7.9699963542153007</v>
      </c>
      <c r="F475" s="45">
        <f t="shared" si="50"/>
        <v>6.4803334988795203E-2</v>
      </c>
    </row>
    <row r="476" spans="1:6" x14ac:dyDescent="0.2">
      <c r="A476" s="49">
        <v>31777</v>
      </c>
      <c r="B476" s="46">
        <v>614.60985000000005</v>
      </c>
      <c r="C476" s="45">
        <f t="shared" si="48"/>
        <v>19.760150786888936</v>
      </c>
      <c r="D476" s="45">
        <f t="shared" si="49"/>
        <v>8.2333961612037232</v>
      </c>
      <c r="E476" s="45">
        <f t="shared" si="47"/>
        <v>7.9041464024681947</v>
      </c>
      <c r="F476" s="45">
        <f t="shared" si="50"/>
        <v>3.9989544082303964E-2</v>
      </c>
    </row>
    <row r="477" spans="1:6" x14ac:dyDescent="0.2">
      <c r="A477" s="49">
        <v>31744</v>
      </c>
      <c r="B477" s="46">
        <v>608.1805700000001</v>
      </c>
      <c r="C477" s="45">
        <f t="shared" si="48"/>
        <v>19.553444789171639</v>
      </c>
      <c r="D477" s="45">
        <f t="shared" si="49"/>
        <v>8.1472686621548505</v>
      </c>
      <c r="E477" s="45">
        <f t="shared" si="47"/>
        <v>7.8433658375465303</v>
      </c>
      <c r="F477" s="45">
        <f t="shared" si="50"/>
        <v>3.7301191013865705E-2</v>
      </c>
    </row>
    <row r="478" spans="1:6" x14ac:dyDescent="0.2">
      <c r="A478" s="49">
        <v>31716</v>
      </c>
      <c r="B478" s="46">
        <v>605.19911999999999</v>
      </c>
      <c r="C478" s="45">
        <f t="shared" si="48"/>
        <v>19.457589017313165</v>
      </c>
      <c r="D478" s="45">
        <f t="shared" si="49"/>
        <v>8.1073287572138177</v>
      </c>
      <c r="E478" s="45">
        <f t="shared" si="47"/>
        <v>7.777375107629708</v>
      </c>
      <c r="F478" s="45">
        <f t="shared" si="50"/>
        <v>4.0698195356950392E-2</v>
      </c>
    </row>
    <row r="479" spans="1:6" x14ac:dyDescent="0.2">
      <c r="A479" s="49">
        <v>31685</v>
      </c>
      <c r="B479" s="46">
        <v>610.83175000000006</v>
      </c>
      <c r="C479" s="45">
        <f t="shared" si="48"/>
        <v>19.638682141881141</v>
      </c>
      <c r="D479" s="45">
        <f t="shared" si="49"/>
        <v>8.1827842257838093</v>
      </c>
      <c r="E479" s="45">
        <f t="shared" si="47"/>
        <v>7.676022828091182</v>
      </c>
      <c r="F479" s="45">
        <f t="shared" si="50"/>
        <v>6.1930191938317405E-2</v>
      </c>
    </row>
    <row r="480" spans="1:6" x14ac:dyDescent="0.2">
      <c r="A480" s="49">
        <v>31653</v>
      </c>
      <c r="B480" s="46">
        <v>597.03551000000004</v>
      </c>
      <c r="C480" s="45">
        <f t="shared" si="48"/>
        <v>19.195123056890704</v>
      </c>
      <c r="D480" s="45">
        <f t="shared" si="49"/>
        <v>7.9979679403711268</v>
      </c>
      <c r="E480" s="45">
        <f t="shared" si="47"/>
        <v>7.5955365500211958</v>
      </c>
      <c r="F480" s="45">
        <f t="shared" si="50"/>
        <v>5.0316704611753811E-2</v>
      </c>
    </row>
    <row r="481" spans="1:6" x14ac:dyDescent="0.2">
      <c r="A481" s="49">
        <v>31624</v>
      </c>
      <c r="B481" s="46">
        <v>602.46598000000006</v>
      </c>
      <c r="C481" s="45">
        <f t="shared" si="48"/>
        <v>19.369716591380392</v>
      </c>
      <c r="D481" s="45">
        <f t="shared" si="49"/>
        <v>8.070715246408497</v>
      </c>
      <c r="E481" s="45">
        <f t="shared" si="47"/>
        <v>7.4767418759243691</v>
      </c>
      <c r="F481" s="45">
        <f t="shared" si="50"/>
        <v>7.3596125293659526E-2</v>
      </c>
    </row>
    <row r="482" spans="1:6" x14ac:dyDescent="0.2">
      <c r="A482" s="49">
        <v>31593</v>
      </c>
      <c r="B482" s="46">
        <v>617.24084000000005</v>
      </c>
      <c r="C482" s="45">
        <f t="shared" si="48"/>
        <v>19.844739016509397</v>
      </c>
      <c r="D482" s="45">
        <f t="shared" si="49"/>
        <v>8.2686412568789152</v>
      </c>
      <c r="E482" s="45">
        <f t="shared" si="47"/>
        <v>7.2787670306857315</v>
      </c>
      <c r="F482" s="45">
        <f t="shared" si="50"/>
        <v>0.11971425479000912</v>
      </c>
    </row>
    <row r="483" spans="1:6" x14ac:dyDescent="0.2">
      <c r="A483" s="49">
        <v>31562</v>
      </c>
      <c r="B483" s="46">
        <v>578.33965000000001</v>
      </c>
      <c r="C483" s="45">
        <f t="shared" si="48"/>
        <v>18.594037648496151</v>
      </c>
      <c r="D483" s="45">
        <f t="shared" si="49"/>
        <v>7.7475156868733963</v>
      </c>
      <c r="E483" s="45">
        <f t="shared" si="47"/>
        <v>7.1615798666388146</v>
      </c>
      <c r="F483" s="45">
        <f t="shared" si="50"/>
        <v>7.562886529256492E-2</v>
      </c>
    </row>
    <row r="484" spans="1:6" x14ac:dyDescent="0.2">
      <c r="A484" s="49">
        <v>31532</v>
      </c>
      <c r="B484" s="46">
        <v>538.34775000000002</v>
      </c>
      <c r="C484" s="45">
        <f t="shared" si="48"/>
        <v>17.308269165849502</v>
      </c>
      <c r="D484" s="45">
        <f t="shared" si="49"/>
        <v>7.2117788191039587</v>
      </c>
      <c r="E484" s="45">
        <f t="shared" si="47"/>
        <v>7.1490301285225284</v>
      </c>
      <c r="F484" s="45">
        <f t="shared" si="50"/>
        <v>8.7008617645357323E-3</v>
      </c>
    </row>
    <row r="485" spans="1:6" x14ac:dyDescent="0.2">
      <c r="A485" s="49">
        <v>31502</v>
      </c>
      <c r="B485" s="46">
        <v>534.9538</v>
      </c>
      <c r="C485" s="45">
        <f t="shared" si="48"/>
        <v>17.199151220923689</v>
      </c>
      <c r="D485" s="45">
        <f t="shared" si="49"/>
        <v>7.1663130087182036</v>
      </c>
      <c r="E485" s="45">
        <f t="shared" si="47"/>
        <v>7.1447094084736094</v>
      </c>
      <c r="F485" s="45">
        <f t="shared" si="50"/>
        <v>3.0146046116479078E-3</v>
      </c>
    </row>
    <row r="486" spans="1:6" x14ac:dyDescent="0.2">
      <c r="A486" s="49">
        <v>31471</v>
      </c>
      <c r="B486" s="46">
        <v>556.01766000000009</v>
      </c>
      <c r="C486" s="45">
        <f t="shared" si="48"/>
        <v>17.876369540405424</v>
      </c>
      <c r="D486" s="45">
        <f t="shared" si="49"/>
        <v>7.4484873085022594</v>
      </c>
      <c r="E486" s="45">
        <f t="shared" si="47"/>
        <v>7.0687649334664462</v>
      </c>
      <c r="F486" s="45">
        <f t="shared" si="50"/>
        <v>5.0979797549278193E-2</v>
      </c>
    </row>
    <row r="487" spans="1:6" x14ac:dyDescent="0.2">
      <c r="A487" s="49">
        <v>31443</v>
      </c>
      <c r="B487" s="46">
        <v>539.09896000000003</v>
      </c>
      <c r="C487" s="45">
        <f t="shared" si="48"/>
        <v>17.33242111016445</v>
      </c>
      <c r="D487" s="45">
        <f t="shared" si="49"/>
        <v>7.2218421292351875</v>
      </c>
      <c r="E487" s="45">
        <f t="shared" si="47"/>
        <v>7.03049563452426</v>
      </c>
      <c r="F487" s="45">
        <f t="shared" si="50"/>
        <v>2.6495524450240466E-2</v>
      </c>
    </row>
    <row r="488" spans="1:6" x14ac:dyDescent="0.2">
      <c r="A488" s="49">
        <v>31412</v>
      </c>
      <c r="B488" s="46">
        <v>552.85486000000003</v>
      </c>
      <c r="C488" s="45">
        <f t="shared" si="48"/>
        <v>17.774683235005707</v>
      </c>
      <c r="D488" s="45">
        <f t="shared" si="49"/>
        <v>7.4061180145857106</v>
      </c>
      <c r="E488" s="45">
        <f t="shared" si="47"/>
        <v>6.9365900395088973</v>
      </c>
      <c r="F488" s="45">
        <f t="shared" si="50"/>
        <v>6.3397312080649873E-2</v>
      </c>
    </row>
    <row r="489" spans="1:6" x14ac:dyDescent="0.2">
      <c r="A489" s="49">
        <v>31380</v>
      </c>
      <c r="B489" s="46">
        <v>589.17554000000007</v>
      </c>
      <c r="C489" s="45">
        <f t="shared" si="48"/>
        <v>18.942419341874711</v>
      </c>
      <c r="D489" s="45">
        <f t="shared" si="49"/>
        <v>7.8926747257811289</v>
      </c>
      <c r="E489" s="45">
        <f t="shared" si="47"/>
        <v>6.6975688679408396</v>
      </c>
      <c r="F489" s="45">
        <f t="shared" si="50"/>
        <v>0.15141962634498549</v>
      </c>
    </row>
    <row r="490" spans="1:6" x14ac:dyDescent="0.2">
      <c r="A490" s="49">
        <v>31351</v>
      </c>
      <c r="B490" s="46">
        <v>578.30055000000004</v>
      </c>
      <c r="C490" s="45">
        <f t="shared" si="48"/>
        <v>18.592780555242982</v>
      </c>
      <c r="D490" s="45">
        <f t="shared" si="49"/>
        <v>7.7469918980179084</v>
      </c>
      <c r="E490" s="45">
        <f t="shared" si="47"/>
        <v>6.4352131104215724</v>
      </c>
      <c r="F490" s="45">
        <f t="shared" si="50"/>
        <v>0.16932750219242629</v>
      </c>
    </row>
    <row r="491" spans="1:6" x14ac:dyDescent="0.2">
      <c r="A491" s="49">
        <v>31320</v>
      </c>
      <c r="B491" s="46">
        <v>522.08158000000003</v>
      </c>
      <c r="C491" s="45">
        <f t="shared" si="48"/>
        <v>16.785300046618548</v>
      </c>
      <c r="D491" s="45">
        <f t="shared" si="49"/>
        <v>6.9938750194243946</v>
      </c>
      <c r="E491" s="45">
        <f t="shared" si="47"/>
        <v>6.2955476331708669</v>
      </c>
      <c r="F491" s="45">
        <f t="shared" si="50"/>
        <v>9.984842227149221E-2</v>
      </c>
    </row>
    <row r="492" spans="1:6" x14ac:dyDescent="0.2">
      <c r="A492" s="49">
        <v>31289</v>
      </c>
      <c r="B492" s="46">
        <v>480.90323000000006</v>
      </c>
      <c r="C492" s="45">
        <f t="shared" si="48"/>
        <v>15.461386339157974</v>
      </c>
      <c r="D492" s="45">
        <f t="shared" si="49"/>
        <v>6.4422443079824889</v>
      </c>
      <c r="E492" s="45">
        <f t="shared" si="47"/>
        <v>6.2588734644679604</v>
      </c>
      <c r="F492" s="45">
        <f t="shared" si="50"/>
        <v>2.8463813967333777E-2</v>
      </c>
    </row>
    <row r="493" spans="1:6" x14ac:dyDescent="0.2">
      <c r="A493" s="49">
        <v>31259</v>
      </c>
      <c r="B493" s="46">
        <v>476.17009000000002</v>
      </c>
      <c r="C493" s="45">
        <f t="shared" si="48"/>
        <v>15.30921246805022</v>
      </c>
      <c r="D493" s="45">
        <f t="shared" si="49"/>
        <v>6.3788385283542581</v>
      </c>
      <c r="E493" s="45">
        <f t="shared" si="47"/>
        <v>6.228882198496386</v>
      </c>
      <c r="F493" s="45">
        <f t="shared" si="50"/>
        <v>2.3508406615296604E-2</v>
      </c>
    </row>
    <row r="494" spans="1:6" x14ac:dyDescent="0.2">
      <c r="A494" s="49">
        <v>31226</v>
      </c>
      <c r="B494" s="46">
        <v>471.24449000000004</v>
      </c>
      <c r="C494" s="45">
        <f t="shared" si="48"/>
        <v>15.150850868873279</v>
      </c>
      <c r="D494" s="45">
        <f t="shared" si="49"/>
        <v>6.3128545286971995</v>
      </c>
      <c r="E494" s="45">
        <f t="shared" si="47"/>
        <v>6.2078891159461822</v>
      </c>
      <c r="F494" s="45">
        <f t="shared" si="50"/>
        <v>1.6627250362551808E-2</v>
      </c>
    </row>
    <row r="495" spans="1:6" x14ac:dyDescent="0.2">
      <c r="A495" s="49">
        <v>31198</v>
      </c>
      <c r="B495" s="46">
        <v>471.75195000000002</v>
      </c>
      <c r="C495" s="45">
        <f t="shared" si="48"/>
        <v>15.167166074557526</v>
      </c>
      <c r="D495" s="45">
        <f t="shared" si="49"/>
        <v>6.3196525310656355</v>
      </c>
      <c r="E495" s="45">
        <f t="shared" si="47"/>
        <v>6.1799482621663175</v>
      </c>
      <c r="F495" s="45">
        <f t="shared" si="50"/>
        <v>2.2106321227721153E-2</v>
      </c>
    </row>
    <row r="496" spans="1:6" x14ac:dyDescent="0.2">
      <c r="A496" s="49">
        <v>31167</v>
      </c>
      <c r="B496" s="46">
        <v>483.25567000000007</v>
      </c>
      <c r="C496" s="45">
        <f t="shared" si="48"/>
        <v>15.537018985001691</v>
      </c>
      <c r="D496" s="45">
        <f t="shared" si="49"/>
        <v>6.4737579104173717</v>
      </c>
      <c r="E496" s="45">
        <f t="shared" si="47"/>
        <v>6.1064958501035536</v>
      </c>
      <c r="F496" s="45">
        <f t="shared" si="50"/>
        <v>5.6730891917170914E-2</v>
      </c>
    </row>
    <row r="497" spans="1:6" x14ac:dyDescent="0.2">
      <c r="A497" s="49">
        <v>31135</v>
      </c>
      <c r="B497" s="46">
        <v>476.23122000000006</v>
      </c>
      <c r="C497" s="45">
        <f t="shared" si="48"/>
        <v>15.311177841721994</v>
      </c>
      <c r="D497" s="45">
        <f t="shared" si="49"/>
        <v>6.3796574340508307</v>
      </c>
      <c r="E497" s="45">
        <f t="shared" si="47"/>
        <v>6.038205454116734</v>
      </c>
      <c r="F497" s="45">
        <f t="shared" si="50"/>
        <v>5.3521992906958984E-2</v>
      </c>
    </row>
    <row r="498" spans="1:6" x14ac:dyDescent="0.2">
      <c r="A498" s="49">
        <v>31106</v>
      </c>
      <c r="B498" s="46">
        <v>484.80513000000002</v>
      </c>
      <c r="C498" s="45">
        <f t="shared" si="48"/>
        <v>15.586835243622101</v>
      </c>
      <c r="D498" s="45">
        <f t="shared" si="49"/>
        <v>6.4945146848425415</v>
      </c>
      <c r="E498" s="45">
        <f t="shared" si="47"/>
        <v>5.9241281464352822</v>
      </c>
      <c r="F498" s="45">
        <f t="shared" si="50"/>
        <v>8.7825890938159942E-2</v>
      </c>
    </row>
    <row r="499" spans="1:6" x14ac:dyDescent="0.2">
      <c r="A499" s="49">
        <v>31078</v>
      </c>
      <c r="B499" s="46">
        <v>447.72848000000005</v>
      </c>
      <c r="C499" s="45">
        <f t="shared" si="48"/>
        <v>14.394794154998635</v>
      </c>
      <c r="D499" s="45">
        <f t="shared" si="49"/>
        <v>5.9978308979160975</v>
      </c>
      <c r="E499" s="45">
        <f t="shared" si="47"/>
        <v>5.9057024585650781</v>
      </c>
      <c r="F499" s="45">
        <f t="shared" si="50"/>
        <v>1.5360292899059338E-2</v>
      </c>
    </row>
    <row r="500" spans="1:6" x14ac:dyDescent="0.2">
      <c r="A500" s="49">
        <v>31047</v>
      </c>
      <c r="B500" s="46">
        <v>447.64711000000005</v>
      </c>
      <c r="C500" s="45">
        <f t="shared" si="48"/>
        <v>14.392178050701691</v>
      </c>
      <c r="D500" s="45">
        <f t="shared" si="49"/>
        <v>5.9967408544590386</v>
      </c>
      <c r="E500" s="45">
        <f t="shared" si="47"/>
        <v>5.8829428595915871</v>
      </c>
      <c r="F500" s="45">
        <f t="shared" si="50"/>
        <v>1.8976640416741353E-2</v>
      </c>
    </row>
    <row r="501" spans="1:6" x14ac:dyDescent="0.2">
      <c r="A501" s="49">
        <v>31016</v>
      </c>
      <c r="B501" s="46">
        <v>445.52243000000004</v>
      </c>
      <c r="C501" s="45">
        <f t="shared" si="48"/>
        <v>14.323868053434502</v>
      </c>
      <c r="D501" s="45">
        <f t="shared" si="49"/>
        <v>5.9682783555977093</v>
      </c>
      <c r="E501" s="45">
        <f t="shared" si="47"/>
        <v>5.8616089855900562</v>
      </c>
      <c r="F501" s="45">
        <f t="shared" si="50"/>
        <v>1.7872720347838131E-2</v>
      </c>
    </row>
    <row r="502" spans="1:6" x14ac:dyDescent="0.2">
      <c r="A502" s="49">
        <v>30986</v>
      </c>
      <c r="B502" s="46">
        <v>442.66150000000005</v>
      </c>
      <c r="C502" s="45">
        <f t="shared" si="48"/>
        <v>14.231887086662274</v>
      </c>
      <c r="D502" s="45">
        <f t="shared" si="49"/>
        <v>5.9299529527759471</v>
      </c>
      <c r="E502" s="45">
        <f t="shared" si="47"/>
        <v>5.844522993793583</v>
      </c>
      <c r="F502" s="45">
        <f t="shared" si="50"/>
        <v>1.4406515475366873E-2</v>
      </c>
    </row>
    <row r="503" spans="1:6" x14ac:dyDescent="0.2">
      <c r="A503" s="49">
        <v>30953</v>
      </c>
      <c r="B503" s="46">
        <v>447.40696000000003</v>
      </c>
      <c r="C503" s="45">
        <f t="shared" si="48"/>
        <v>14.384457054672305</v>
      </c>
      <c r="D503" s="45">
        <f t="shared" si="49"/>
        <v>5.9935237727801276</v>
      </c>
      <c r="E503" s="45">
        <f t="shared" si="47"/>
        <v>5.8072727990469462</v>
      </c>
      <c r="F503" s="45">
        <f t="shared" si="50"/>
        <v>3.107537081592119E-2</v>
      </c>
    </row>
    <row r="504" spans="1:6" x14ac:dyDescent="0.2">
      <c r="A504" s="49">
        <v>30925</v>
      </c>
      <c r="B504" s="46">
        <v>428.96856000000002</v>
      </c>
      <c r="C504" s="45">
        <f t="shared" si="48"/>
        <v>13.791649171315125</v>
      </c>
      <c r="D504" s="45">
        <f t="shared" si="49"/>
        <v>5.7465204880479694</v>
      </c>
      <c r="E504" s="45">
        <f t="shared" si="47"/>
        <v>5.8224608767966899</v>
      </c>
      <c r="F504" s="45">
        <f t="shared" si="50"/>
        <v>1.3215020969065851E-2</v>
      </c>
    </row>
    <row r="505" spans="1:6" x14ac:dyDescent="0.2">
      <c r="A505" s="49">
        <v>30894</v>
      </c>
      <c r="B505" s="46">
        <v>432.62108000000006</v>
      </c>
      <c r="C505" s="45">
        <f t="shared" si="48"/>
        <v>13.909080328580387</v>
      </c>
      <c r="D505" s="45">
        <f t="shared" si="49"/>
        <v>5.7954501369084941</v>
      </c>
      <c r="E505" s="45">
        <f t="shared" si="47"/>
        <v>5.8292135617687384</v>
      </c>
      <c r="F505" s="45">
        <f t="shared" si="50"/>
        <v>5.8258502899060328E-3</v>
      </c>
    </row>
    <row r="506" spans="1:6" x14ac:dyDescent="0.2">
      <c r="A506" s="49">
        <v>30862</v>
      </c>
      <c r="B506" s="46">
        <v>434.86963000000003</v>
      </c>
      <c r="C506" s="45">
        <f t="shared" si="48"/>
        <v>13.981372835854486</v>
      </c>
      <c r="D506" s="45">
        <f t="shared" si="49"/>
        <v>5.8255720149393699</v>
      </c>
      <c r="E506" s="45">
        <f t="shared" si="47"/>
        <v>5.8301239484760803</v>
      </c>
      <c r="F506" s="45">
        <f t="shared" si="50"/>
        <v>7.8137108682841089E-4</v>
      </c>
    </row>
    <row r="507" spans="1:6" x14ac:dyDescent="0.2">
      <c r="A507" s="49">
        <v>30833</v>
      </c>
      <c r="B507" s="46">
        <v>442.99233000000004</v>
      </c>
      <c r="C507" s="45">
        <f t="shared" si="48"/>
        <v>14.242523510215893</v>
      </c>
      <c r="D507" s="45">
        <f t="shared" si="49"/>
        <v>5.9343847959232887</v>
      </c>
      <c r="E507" s="45">
        <f t="shared" si="47"/>
        <v>5.8040587366142784</v>
      </c>
      <c r="F507" s="45">
        <f t="shared" si="50"/>
        <v>2.196117437456022E-2</v>
      </c>
    </row>
    <row r="508" spans="1:6" x14ac:dyDescent="0.2">
      <c r="A508" s="49">
        <v>30802</v>
      </c>
      <c r="B508" s="46">
        <v>418.87658000000005</v>
      </c>
      <c r="C508" s="45">
        <f t="shared" si="48"/>
        <v>13.467184721976627</v>
      </c>
      <c r="D508" s="45">
        <f t="shared" si="49"/>
        <v>5.6113269674902613</v>
      </c>
      <c r="E508" s="45">
        <f t="shared" si="47"/>
        <v>5.8522416788952825</v>
      </c>
      <c r="F508" s="45">
        <f t="shared" si="50"/>
        <v>4.2933643468074968E-2</v>
      </c>
    </row>
    <row r="509" spans="1:6" x14ac:dyDescent="0.2">
      <c r="A509" s="49">
        <v>30771</v>
      </c>
      <c r="B509" s="46">
        <v>405.33838000000003</v>
      </c>
      <c r="C509" s="45">
        <f t="shared" si="48"/>
        <v>13.031921809442668</v>
      </c>
      <c r="D509" s="45">
        <f t="shared" si="49"/>
        <v>5.4299674206011117</v>
      </c>
      <c r="E509" s="45">
        <f t="shared" si="47"/>
        <v>5.9578102434688249</v>
      </c>
      <c r="F509" s="45">
        <f t="shared" si="50"/>
        <v>9.7209206240371812E-2</v>
      </c>
    </row>
    <row r="510" spans="1:6" x14ac:dyDescent="0.2">
      <c r="A510" s="49">
        <v>30741</v>
      </c>
      <c r="B510" s="46">
        <v>401.16613000000001</v>
      </c>
      <c r="C510" s="45">
        <f t="shared" si="48"/>
        <v>12.897780957127011</v>
      </c>
      <c r="D510" s="45">
        <f t="shared" si="49"/>
        <v>5.3740753988029208</v>
      </c>
      <c r="E510" s="45">
        <f t="shared" si="47"/>
        <v>6.1037439546353012</v>
      </c>
      <c r="F510" s="45">
        <f t="shared" si="50"/>
        <v>0.13577564542449749</v>
      </c>
    </row>
    <row r="511" spans="1:6" x14ac:dyDescent="0.2">
      <c r="A511" s="49">
        <v>30712</v>
      </c>
      <c r="B511" s="46">
        <v>421.89419000000004</v>
      </c>
      <c r="C511" s="45">
        <f t="shared" si="48"/>
        <v>13.564203063963864</v>
      </c>
      <c r="D511" s="45">
        <f t="shared" si="49"/>
        <v>5.65175127665161</v>
      </c>
      <c r="E511" s="45">
        <f t="shared" si="47"/>
        <v>6.2167421241312235</v>
      </c>
      <c r="F511" s="45">
        <f t="shared" si="50"/>
        <v>9.9967394144482469E-2</v>
      </c>
    </row>
    <row r="512" spans="1:6" x14ac:dyDescent="0.2">
      <c r="A512" s="49">
        <v>30680</v>
      </c>
      <c r="B512" s="46">
        <v>449.87489000000005</v>
      </c>
      <c r="C512" s="45">
        <f t="shared" si="48"/>
        <v>14.46380278746765</v>
      </c>
      <c r="D512" s="45">
        <f t="shared" si="49"/>
        <v>6.0265844947781879</v>
      </c>
      <c r="E512" s="45">
        <f t="shared" si="47"/>
        <v>6.2642815314694813</v>
      </c>
      <c r="F512" s="45">
        <f t="shared" si="50"/>
        <v>3.9441417754492461E-2</v>
      </c>
    </row>
    <row r="513" spans="1:6" x14ac:dyDescent="0.2">
      <c r="A513" s="49">
        <v>30650</v>
      </c>
      <c r="B513" s="46">
        <v>448.42394000000002</v>
      </c>
      <c r="C513" s="45">
        <f t="shared" si="48"/>
        <v>14.417153696529329</v>
      </c>
      <c r="D513" s="45">
        <f t="shared" si="49"/>
        <v>6.0071473735538872</v>
      </c>
      <c r="E513" s="45">
        <f t="shared" si="47"/>
        <v>6.3285650709483789</v>
      </c>
      <c r="F513" s="45">
        <f t="shared" si="50"/>
        <v>5.3505878482275011E-2</v>
      </c>
    </row>
    <row r="514" spans="1:6" x14ac:dyDescent="0.2">
      <c r="A514" s="49">
        <v>30620</v>
      </c>
      <c r="B514" s="46">
        <v>447.51872000000003</v>
      </c>
      <c r="C514" s="45">
        <f t="shared" si="48"/>
        <v>14.388050219428683</v>
      </c>
      <c r="D514" s="45">
        <f t="shared" si="49"/>
        <v>5.9950209247619508</v>
      </c>
      <c r="E514" s="45">
        <f t="shared" ref="E514:E573" si="51">($T$1*D515) + ((1-$T$1)*E515)</f>
        <v>6.4119511074949864</v>
      </c>
      <c r="F514" s="45">
        <f t="shared" si="50"/>
        <v>6.9546076313251728E-2</v>
      </c>
    </row>
    <row r="515" spans="1:6" x14ac:dyDescent="0.2">
      <c r="A515" s="49">
        <v>30589</v>
      </c>
      <c r="B515" s="46">
        <v>452.80017000000004</v>
      </c>
      <c r="C515" s="45">
        <f t="shared" si="48"/>
        <v>14.557852653238383</v>
      </c>
      <c r="D515" s="45">
        <f t="shared" si="49"/>
        <v>6.0657719388493261</v>
      </c>
      <c r="E515" s="45">
        <f t="shared" si="51"/>
        <v>6.4984958996564011</v>
      </c>
      <c r="F515" s="45">
        <f t="shared" si="50"/>
        <v>7.133864661736071E-2</v>
      </c>
    </row>
    <row r="516" spans="1:6" x14ac:dyDescent="0.2">
      <c r="A516" s="49">
        <v>30559</v>
      </c>
      <c r="B516" s="46">
        <v>459.62626000000006</v>
      </c>
      <c r="C516" s="45">
        <f t="shared" si="48"/>
        <v>14.777316379185624</v>
      </c>
      <c r="D516" s="45">
        <f t="shared" si="49"/>
        <v>6.1572151579940106</v>
      </c>
      <c r="E516" s="45">
        <f t="shared" si="51"/>
        <v>6.583816085071998</v>
      </c>
      <c r="F516" s="45">
        <f t="shared" si="50"/>
        <v>6.9284719817550078E-2</v>
      </c>
    </row>
    <row r="517" spans="1:6" x14ac:dyDescent="0.2">
      <c r="A517" s="49">
        <v>30526</v>
      </c>
      <c r="B517" s="46">
        <v>492.98549000000003</v>
      </c>
      <c r="C517" s="45">
        <f t="shared" si="48"/>
        <v>15.849839728647902</v>
      </c>
      <c r="D517" s="45">
        <f t="shared" si="49"/>
        <v>6.6040998869366261</v>
      </c>
      <c r="E517" s="45">
        <f t="shared" si="51"/>
        <v>6.5787451346058408</v>
      </c>
      <c r="F517" s="45">
        <f t="shared" si="50"/>
        <v>3.8392442217506139E-3</v>
      </c>
    </row>
    <row r="518" spans="1:6" x14ac:dyDescent="0.2">
      <c r="A518" s="49">
        <v>30497</v>
      </c>
      <c r="B518" s="46">
        <v>487.91968000000003</v>
      </c>
      <c r="C518" s="45">
        <f t="shared" si="48"/>
        <v>15.686970276656968</v>
      </c>
      <c r="D518" s="45">
        <f t="shared" si="49"/>
        <v>6.5362376152737367</v>
      </c>
      <c r="E518" s="45">
        <f t="shared" si="51"/>
        <v>6.5893720144388661</v>
      </c>
      <c r="F518" s="45">
        <f t="shared" si="50"/>
        <v>8.1292025003751565E-3</v>
      </c>
    </row>
    <row r="519" spans="1:6" x14ac:dyDescent="0.2">
      <c r="A519" s="49">
        <v>30467</v>
      </c>
      <c r="B519" s="46">
        <v>487.77984000000004</v>
      </c>
      <c r="C519" s="45">
        <f t="shared" si="48"/>
        <v>15.682474319610334</v>
      </c>
      <c r="D519" s="45">
        <f t="shared" si="49"/>
        <v>6.5343642998376392</v>
      </c>
      <c r="E519" s="45">
        <f t="shared" si="51"/>
        <v>6.6031239430891731</v>
      </c>
      <c r="F519" s="45">
        <f t="shared" si="50"/>
        <v>1.0522774687239632E-2</v>
      </c>
    </row>
    <row r="520" spans="1:6" x14ac:dyDescent="0.2">
      <c r="A520" s="49">
        <v>30435</v>
      </c>
      <c r="B520" s="46">
        <v>501.03527000000003</v>
      </c>
      <c r="C520" s="45">
        <f t="shared" si="48"/>
        <v>16.108645972318229</v>
      </c>
      <c r="D520" s="45">
        <f t="shared" si="49"/>
        <v>6.711935821799262</v>
      </c>
      <c r="E520" s="45">
        <f t="shared" si="51"/>
        <v>6.5759209734116508</v>
      </c>
      <c r="F520" s="45">
        <f t="shared" si="50"/>
        <v>2.0264622904446927E-2</v>
      </c>
    </row>
    <row r="521" spans="1:6" x14ac:dyDescent="0.2">
      <c r="A521" s="49">
        <v>30406</v>
      </c>
      <c r="B521" s="46">
        <v>481.87331000000006</v>
      </c>
      <c r="C521" s="45">
        <f t="shared" si="48"/>
        <v>15.492575112125646</v>
      </c>
      <c r="D521" s="45">
        <f t="shared" si="49"/>
        <v>6.4552396300523531</v>
      </c>
      <c r="E521" s="45">
        <f t="shared" si="51"/>
        <v>6.6060913092514744</v>
      </c>
      <c r="F521" s="45">
        <f t="shared" si="50"/>
        <v>2.3368873635121398E-2</v>
      </c>
    </row>
    <row r="522" spans="1:6" x14ac:dyDescent="0.2">
      <c r="A522" s="49">
        <v>30375</v>
      </c>
      <c r="B522" s="46">
        <v>462.85344000000003</v>
      </c>
      <c r="C522" s="45">
        <f t="shared" si="48"/>
        <v>14.88107254810552</v>
      </c>
      <c r="D522" s="45">
        <f t="shared" si="49"/>
        <v>6.2004468950439664</v>
      </c>
      <c r="E522" s="45">
        <f t="shared" si="51"/>
        <v>6.7075024128033505</v>
      </c>
      <c r="F522" s="45">
        <f t="shared" si="50"/>
        <v>8.1777253533882349E-2</v>
      </c>
    </row>
    <row r="523" spans="1:6" x14ac:dyDescent="0.2">
      <c r="A523" s="49">
        <v>30347</v>
      </c>
      <c r="B523" s="46">
        <v>483.75700000000006</v>
      </c>
      <c r="C523" s="45">
        <f t="shared" si="48"/>
        <v>15.553137106756477</v>
      </c>
      <c r="D523" s="45">
        <f t="shared" si="49"/>
        <v>6.480473794481866</v>
      </c>
      <c r="E523" s="45">
        <f t="shared" si="51"/>
        <v>6.7642595673837214</v>
      </c>
      <c r="F523" s="45">
        <f t="shared" si="50"/>
        <v>4.3790898922158962E-2</v>
      </c>
    </row>
    <row r="524" spans="1:6" x14ac:dyDescent="0.2">
      <c r="A524" s="49">
        <v>30316</v>
      </c>
      <c r="B524" s="46">
        <v>471.05407000000002</v>
      </c>
      <c r="C524" s="45">
        <f t="shared" si="48"/>
        <v>15.144728728278169</v>
      </c>
      <c r="D524" s="45">
        <f t="shared" si="49"/>
        <v>6.3103036367825709</v>
      </c>
      <c r="E524" s="45">
        <f t="shared" si="51"/>
        <v>6.8777485500340081</v>
      </c>
      <c r="F524" s="45">
        <f t="shared" si="50"/>
        <v>8.9923551371413862E-2</v>
      </c>
    </row>
    <row r="525" spans="1:6" x14ac:dyDescent="0.2">
      <c r="A525" s="49">
        <v>30285</v>
      </c>
      <c r="B525" s="46">
        <v>485.40861000000007</v>
      </c>
      <c r="C525" s="45">
        <f t="shared" si="48"/>
        <v>15.6062375616892</v>
      </c>
      <c r="D525" s="45">
        <f t="shared" si="49"/>
        <v>6.5025989840371672</v>
      </c>
      <c r="E525" s="45">
        <f t="shared" si="51"/>
        <v>6.971535941533217</v>
      </c>
      <c r="F525" s="45">
        <f t="shared" si="50"/>
        <v>7.2115312453868749E-2</v>
      </c>
    </row>
    <row r="526" spans="1:6" x14ac:dyDescent="0.2">
      <c r="A526" s="49">
        <v>30253</v>
      </c>
      <c r="B526" s="46">
        <v>507.88318000000004</v>
      </c>
      <c r="C526" s="45">
        <f t="shared" ref="C526:C582" si="52">B526/(31.1035)</f>
        <v>16.328811227032329</v>
      </c>
      <c r="D526" s="45">
        <f t="shared" ref="D526:D582" si="53">(C526/24)*10</f>
        <v>6.8036713445968031</v>
      </c>
      <c r="E526" s="45">
        <f t="shared" si="51"/>
        <v>7.0135020907673207</v>
      </c>
      <c r="F526" s="45">
        <f t="shared" si="50"/>
        <v>3.0840811606391971E-2</v>
      </c>
    </row>
    <row r="527" spans="1:6" x14ac:dyDescent="0.2">
      <c r="A527" s="49">
        <v>30224</v>
      </c>
      <c r="B527" s="46">
        <v>513.33557000000008</v>
      </c>
      <c r="C527" s="45">
        <f t="shared" si="52"/>
        <v>16.504109505361136</v>
      </c>
      <c r="D527" s="45">
        <f t="shared" si="53"/>
        <v>6.8767122939004732</v>
      </c>
      <c r="E527" s="45">
        <f t="shared" si="51"/>
        <v>7.0476995399840323</v>
      </c>
      <c r="F527" s="45">
        <f t="shared" ref="F527:F582" si="54">ABS((D527-E527)/D527)</f>
        <v>2.486467933742435E-2</v>
      </c>
    </row>
    <row r="528" spans="1:6" x14ac:dyDescent="0.2">
      <c r="A528" s="49">
        <v>30194</v>
      </c>
      <c r="B528" s="46">
        <v>520.55817000000002</v>
      </c>
      <c r="C528" s="45">
        <f t="shared" si="52"/>
        <v>16.73632131432154</v>
      </c>
      <c r="D528" s="45">
        <f t="shared" si="53"/>
        <v>6.9734672143006415</v>
      </c>
      <c r="E528" s="45">
        <f t="shared" si="51"/>
        <v>7.0662576214048798</v>
      </c>
      <c r="F528" s="45">
        <f t="shared" si="54"/>
        <v>1.3306208268098104E-2</v>
      </c>
    </row>
    <row r="529" spans="1:6" x14ac:dyDescent="0.2">
      <c r="A529" s="49">
        <v>30162</v>
      </c>
      <c r="B529" s="46">
        <v>508.92182000000003</v>
      </c>
      <c r="C529" s="45">
        <f t="shared" si="52"/>
        <v>16.3622042535406</v>
      </c>
      <c r="D529" s="45">
        <f t="shared" si="53"/>
        <v>6.8175851056419168</v>
      </c>
      <c r="E529" s="45">
        <f t="shared" si="51"/>
        <v>7.1284257503456203</v>
      </c>
      <c r="F529" s="45">
        <f t="shared" si="54"/>
        <v>4.5593951507325703E-2</v>
      </c>
    </row>
    <row r="530" spans="1:6" x14ac:dyDescent="0.2">
      <c r="A530" s="49">
        <v>30132</v>
      </c>
      <c r="B530" s="46">
        <v>537.60464999999999</v>
      </c>
      <c r="C530" s="45">
        <f t="shared" si="52"/>
        <v>17.284377963894737</v>
      </c>
      <c r="D530" s="45">
        <f t="shared" si="53"/>
        <v>7.2018241516228079</v>
      </c>
      <c r="E530" s="45">
        <f t="shared" si="51"/>
        <v>7.1100761500263232</v>
      </c>
      <c r="F530" s="45">
        <f t="shared" si="54"/>
        <v>1.2739550378470547E-2</v>
      </c>
    </row>
    <row r="531" spans="1:6" x14ac:dyDescent="0.2">
      <c r="A531" s="49">
        <v>30102</v>
      </c>
      <c r="B531" s="46">
        <v>533.50073000000009</v>
      </c>
      <c r="C531" s="45">
        <f t="shared" si="52"/>
        <v>17.15243397045349</v>
      </c>
      <c r="D531" s="45">
        <f t="shared" si="53"/>
        <v>7.1468474876889543</v>
      </c>
      <c r="E531" s="45">
        <f t="shared" si="51"/>
        <v>7.1008833156106652</v>
      </c>
      <c r="F531" s="45">
        <f t="shared" si="54"/>
        <v>6.4313912053484031E-3</v>
      </c>
    </row>
    <row r="532" spans="1:6" x14ac:dyDescent="0.2">
      <c r="A532" s="49">
        <v>30071</v>
      </c>
      <c r="B532" s="46">
        <v>515.67203000000006</v>
      </c>
      <c r="C532" s="45">
        <f t="shared" si="52"/>
        <v>16.579228382657902</v>
      </c>
      <c r="D532" s="45">
        <f t="shared" si="53"/>
        <v>6.9080118261074599</v>
      </c>
      <c r="E532" s="45">
        <f t="shared" si="51"/>
        <v>7.1491011879864663</v>
      </c>
      <c r="F532" s="45">
        <f t="shared" si="54"/>
        <v>3.4899963686781346E-2</v>
      </c>
    </row>
    <row r="533" spans="1:6" x14ac:dyDescent="0.2">
      <c r="A533" s="49">
        <v>30041</v>
      </c>
      <c r="B533" s="46">
        <v>605.74579000000006</v>
      </c>
      <c r="C533" s="45">
        <f t="shared" si="52"/>
        <v>19.475164852830069</v>
      </c>
      <c r="D533" s="45">
        <f t="shared" si="53"/>
        <v>8.1146520220125282</v>
      </c>
      <c r="E533" s="45">
        <f t="shared" si="51"/>
        <v>6.9077134794799502</v>
      </c>
      <c r="F533" s="45">
        <f t="shared" si="54"/>
        <v>0.14873571155713505</v>
      </c>
    </row>
    <row r="534" spans="1:6" x14ac:dyDescent="0.2">
      <c r="A534" s="49">
        <v>30008</v>
      </c>
      <c r="B534" s="46">
        <v>593.63511000000005</v>
      </c>
      <c r="C534" s="45">
        <f t="shared" si="52"/>
        <v>19.085797739804203</v>
      </c>
      <c r="D534" s="45">
        <f t="shared" si="53"/>
        <v>7.952415724918418</v>
      </c>
      <c r="E534" s="45">
        <f t="shared" si="51"/>
        <v>6.646537918120333</v>
      </c>
      <c r="F534" s="45">
        <f t="shared" si="54"/>
        <v>0.16421146126782521</v>
      </c>
    </row>
    <row r="535" spans="1:6" x14ac:dyDescent="0.2">
      <c r="A535" s="49">
        <v>29980</v>
      </c>
      <c r="B535" s="46">
        <v>549.11488000000008</v>
      </c>
      <c r="C535" s="45">
        <f t="shared" si="52"/>
        <v>17.654440175542948</v>
      </c>
      <c r="D535" s="45">
        <f t="shared" si="53"/>
        <v>7.3560167398095624</v>
      </c>
      <c r="E535" s="45">
        <f t="shared" si="51"/>
        <v>6.4691682126980252</v>
      </c>
      <c r="F535" s="45">
        <f t="shared" si="54"/>
        <v>0.12056097185207011</v>
      </c>
    </row>
    <row r="536" spans="1:6" x14ac:dyDescent="0.2">
      <c r="A536" s="49">
        <v>29951</v>
      </c>
      <c r="B536" s="46">
        <v>508.83626000000004</v>
      </c>
      <c r="C536" s="45">
        <f t="shared" si="52"/>
        <v>16.359453437716013</v>
      </c>
      <c r="D536" s="45">
        <f t="shared" si="53"/>
        <v>6.8164389323816721</v>
      </c>
      <c r="E536" s="45">
        <f t="shared" si="51"/>
        <v>6.3823505327771128</v>
      </c>
      <c r="F536" s="45">
        <f t="shared" si="54"/>
        <v>6.368257735610465E-2</v>
      </c>
    </row>
    <row r="537" spans="1:6" x14ac:dyDescent="0.2">
      <c r="A537" s="49">
        <v>29920</v>
      </c>
      <c r="B537" s="46">
        <v>519.85860000000002</v>
      </c>
      <c r="C537" s="45">
        <f t="shared" si="52"/>
        <v>16.713829633321009</v>
      </c>
      <c r="D537" s="45">
        <f t="shared" si="53"/>
        <v>6.9640956805504208</v>
      </c>
      <c r="E537" s="45">
        <f t="shared" si="51"/>
        <v>6.236914245833785</v>
      </c>
      <c r="F537" s="45">
        <f t="shared" si="54"/>
        <v>0.10441864501482002</v>
      </c>
    </row>
    <row r="538" spans="1:6" x14ac:dyDescent="0.2">
      <c r="A538" s="49">
        <v>29889</v>
      </c>
      <c r="B538" s="46">
        <v>541.16525000000001</v>
      </c>
      <c r="C538" s="45">
        <f t="shared" si="52"/>
        <v>17.398853826739757</v>
      </c>
      <c r="D538" s="45">
        <f t="shared" si="53"/>
        <v>7.2495224278082313</v>
      </c>
      <c r="E538" s="45">
        <f t="shared" si="51"/>
        <v>5.9837622003401734</v>
      </c>
      <c r="F538" s="45">
        <f t="shared" si="54"/>
        <v>0.17459911877957163</v>
      </c>
    </row>
    <row r="539" spans="1:6" x14ac:dyDescent="0.2">
      <c r="A539" s="49">
        <v>29859</v>
      </c>
      <c r="B539" s="46">
        <v>452.33387000000005</v>
      </c>
      <c r="C539" s="45">
        <f t="shared" si="52"/>
        <v>14.542860771295837</v>
      </c>
      <c r="D539" s="45">
        <f t="shared" si="53"/>
        <v>6.0595253213732656</v>
      </c>
      <c r="E539" s="45">
        <f t="shared" si="51"/>
        <v>5.9648214200819005</v>
      </c>
      <c r="F539" s="45">
        <f t="shared" si="54"/>
        <v>1.5628930694839047E-2</v>
      </c>
    </row>
    <row r="540" spans="1:6" x14ac:dyDescent="0.2">
      <c r="A540" s="49">
        <v>29829</v>
      </c>
      <c r="B540" s="46">
        <v>428.93700000000001</v>
      </c>
      <c r="C540" s="45">
        <f t="shared" si="52"/>
        <v>13.790634494510265</v>
      </c>
      <c r="D540" s="45">
        <f t="shared" si="53"/>
        <v>5.7460977060459442</v>
      </c>
      <c r="E540" s="45">
        <f t="shared" si="51"/>
        <v>6.0195023485908887</v>
      </c>
      <c r="F540" s="45">
        <f t="shared" si="54"/>
        <v>4.7580924747811539E-2</v>
      </c>
    </row>
    <row r="541" spans="1:6" x14ac:dyDescent="0.2">
      <c r="A541" s="49">
        <v>29798</v>
      </c>
      <c r="B541" s="46">
        <v>401.07233000000002</v>
      </c>
      <c r="C541" s="45">
        <f t="shared" si="52"/>
        <v>12.894765219348306</v>
      </c>
      <c r="D541" s="45">
        <f t="shared" si="53"/>
        <v>5.3728188413951274</v>
      </c>
      <c r="E541" s="45">
        <f t="shared" si="51"/>
        <v>6.1811732253898288</v>
      </c>
      <c r="F541" s="45">
        <f t="shared" si="54"/>
        <v>0.15045256649390412</v>
      </c>
    </row>
    <row r="542" spans="1:6" x14ac:dyDescent="0.2">
      <c r="A542" s="49">
        <v>29767</v>
      </c>
      <c r="B542" s="46">
        <v>412.50083000000001</v>
      </c>
      <c r="C542" s="45">
        <f t="shared" si="52"/>
        <v>13.262199752439436</v>
      </c>
      <c r="D542" s="45">
        <f t="shared" si="53"/>
        <v>5.5259165635164322</v>
      </c>
      <c r="E542" s="45">
        <f t="shared" si="51"/>
        <v>6.3449873908581775</v>
      </c>
      <c r="F542" s="45">
        <f t="shared" si="54"/>
        <v>0.14822352417506052</v>
      </c>
    </row>
    <row r="543" spans="1:6" x14ac:dyDescent="0.2">
      <c r="A543" s="49">
        <v>29735</v>
      </c>
      <c r="B543" s="46">
        <v>428.87606000000005</v>
      </c>
      <c r="C543" s="45">
        <f t="shared" si="52"/>
        <v>13.788675229475784</v>
      </c>
      <c r="D543" s="45">
        <f t="shared" si="53"/>
        <v>5.7452813456149094</v>
      </c>
      <c r="E543" s="45">
        <f t="shared" si="51"/>
        <v>6.4949139021689932</v>
      </c>
      <c r="F543" s="45">
        <f t="shared" si="54"/>
        <v>0.13047795424783529</v>
      </c>
    </row>
    <row r="544" spans="1:6" x14ac:dyDescent="0.2">
      <c r="A544" s="49">
        <v>29706</v>
      </c>
      <c r="B544" s="46">
        <v>403.08269000000001</v>
      </c>
      <c r="C544" s="45">
        <f t="shared" si="52"/>
        <v>12.959399746009291</v>
      </c>
      <c r="D544" s="45">
        <f t="shared" si="53"/>
        <v>5.3997498941705384</v>
      </c>
      <c r="E544" s="45">
        <f t="shared" si="51"/>
        <v>6.7687049041686063</v>
      </c>
      <c r="F544" s="45">
        <f t="shared" si="54"/>
        <v>0.25352192913156296</v>
      </c>
    </row>
    <row r="545" spans="1:6" x14ac:dyDescent="0.2">
      <c r="A545" s="49">
        <v>29676</v>
      </c>
      <c r="B545" s="46">
        <v>454.13129000000004</v>
      </c>
      <c r="C545" s="45">
        <f t="shared" si="52"/>
        <v>14.600649123089042</v>
      </c>
      <c r="D545" s="45">
        <f t="shared" si="53"/>
        <v>6.0836038012871008</v>
      </c>
      <c r="E545" s="45">
        <f t="shared" si="51"/>
        <v>6.9399801798889822</v>
      </c>
      <c r="F545" s="45">
        <f t="shared" si="54"/>
        <v>0.14076794061123751</v>
      </c>
    </row>
    <row r="546" spans="1:6" x14ac:dyDescent="0.2">
      <c r="A546" s="49">
        <v>29644</v>
      </c>
      <c r="B546" s="46">
        <v>458.03088000000002</v>
      </c>
      <c r="C546" s="45">
        <f t="shared" si="52"/>
        <v>14.726023759383994</v>
      </c>
      <c r="D546" s="45">
        <f t="shared" si="53"/>
        <v>6.1358432330766641</v>
      </c>
      <c r="E546" s="45">
        <f t="shared" si="51"/>
        <v>7.1410144165920615</v>
      </c>
      <c r="F546" s="45">
        <f t="shared" si="54"/>
        <v>0.16381956730849845</v>
      </c>
    </row>
    <row r="547" spans="1:6" x14ac:dyDescent="0.2">
      <c r="A547" s="49">
        <v>29616</v>
      </c>
      <c r="B547" s="46">
        <v>485.97192000000001</v>
      </c>
      <c r="C547" s="45">
        <f t="shared" si="52"/>
        <v>15.624348385229958</v>
      </c>
      <c r="D547" s="45">
        <f t="shared" si="53"/>
        <v>6.5101451605124829</v>
      </c>
      <c r="E547" s="45">
        <f t="shared" si="51"/>
        <v>7.298731730611955</v>
      </c>
      <c r="F547" s="45">
        <f t="shared" si="54"/>
        <v>0.12113194877476342</v>
      </c>
    </row>
    <row r="548" spans="1:6" x14ac:dyDescent="0.2">
      <c r="A548" s="49">
        <v>29586</v>
      </c>
      <c r="B548" s="46">
        <v>491.02888000000002</v>
      </c>
      <c r="C548" s="45">
        <f t="shared" si="52"/>
        <v>15.786933303325993</v>
      </c>
      <c r="D548" s="45">
        <f t="shared" si="53"/>
        <v>6.5778888763858303</v>
      </c>
      <c r="E548" s="45">
        <f t="shared" si="51"/>
        <v>7.478942444168486</v>
      </c>
      <c r="F548" s="45">
        <f t="shared" si="54"/>
        <v>0.13698218147426847</v>
      </c>
    </row>
    <row r="549" spans="1:6" x14ac:dyDescent="0.2">
      <c r="A549" s="49">
        <v>29553</v>
      </c>
      <c r="B549" s="46">
        <v>526.24575000000004</v>
      </c>
      <c r="C549" s="45">
        <f t="shared" si="52"/>
        <v>16.919181121095697</v>
      </c>
      <c r="D549" s="45">
        <f t="shared" si="53"/>
        <v>7.049658800456541</v>
      </c>
      <c r="E549" s="45">
        <f t="shared" si="51"/>
        <v>7.5862633550964711</v>
      </c>
      <c r="F549" s="45">
        <f t="shared" si="54"/>
        <v>7.6117805106422909E-2</v>
      </c>
    </row>
    <row r="550" spans="1:6" x14ac:dyDescent="0.2">
      <c r="A550" s="49">
        <v>29525</v>
      </c>
      <c r="B550" s="46">
        <v>532.37305000000003</v>
      </c>
      <c r="C550" s="45">
        <f t="shared" si="52"/>
        <v>17.116178243606026</v>
      </c>
      <c r="D550" s="45">
        <f t="shared" si="53"/>
        <v>7.131740934835844</v>
      </c>
      <c r="E550" s="45">
        <f t="shared" si="51"/>
        <v>7.6998939601616279</v>
      </c>
      <c r="F550" s="45">
        <f t="shared" si="54"/>
        <v>7.9665404354576627E-2</v>
      </c>
    </row>
    <row r="551" spans="1:6" x14ac:dyDescent="0.2">
      <c r="A551" s="49">
        <v>29494</v>
      </c>
      <c r="B551" s="46">
        <v>501.82254000000006</v>
      </c>
      <c r="C551" s="45">
        <f t="shared" si="52"/>
        <v>16.133957271689685</v>
      </c>
      <c r="D551" s="45">
        <f t="shared" si="53"/>
        <v>6.722482196537368</v>
      </c>
      <c r="E551" s="45">
        <f t="shared" si="51"/>
        <v>7.944246901067693</v>
      </c>
      <c r="F551" s="45">
        <f t="shared" si="54"/>
        <v>0.18174309262724928</v>
      </c>
    </row>
    <row r="552" spans="1:6" x14ac:dyDescent="0.2">
      <c r="A552" s="49">
        <v>29462</v>
      </c>
      <c r="B552" s="46">
        <v>495.19013000000007</v>
      </c>
      <c r="C552" s="45">
        <f t="shared" si="52"/>
        <v>15.920720497693187</v>
      </c>
      <c r="D552" s="45">
        <f t="shared" si="53"/>
        <v>6.6336335407054943</v>
      </c>
      <c r="E552" s="45">
        <f t="shared" si="51"/>
        <v>8.2719002411582423</v>
      </c>
      <c r="F552" s="45">
        <f t="shared" si="54"/>
        <v>0.24696370253194852</v>
      </c>
    </row>
    <row r="553" spans="1:6" x14ac:dyDescent="0.2">
      <c r="A553" s="49">
        <v>29433</v>
      </c>
      <c r="B553" s="46">
        <v>553.91708000000006</v>
      </c>
      <c r="C553" s="45">
        <f t="shared" si="52"/>
        <v>17.808834375552593</v>
      </c>
      <c r="D553" s="45">
        <f t="shared" si="53"/>
        <v>7.4203476564802475</v>
      </c>
      <c r="E553" s="45">
        <f t="shared" si="51"/>
        <v>8.4847883873277397</v>
      </c>
      <c r="F553" s="45">
        <f t="shared" si="54"/>
        <v>0.14344890295239843</v>
      </c>
    </row>
    <row r="554" spans="1:6" x14ac:dyDescent="0.2">
      <c r="A554" s="49">
        <v>29402</v>
      </c>
      <c r="B554" s="46">
        <v>576.58262999999999</v>
      </c>
      <c r="C554" s="45">
        <f t="shared" si="52"/>
        <v>18.537548185895478</v>
      </c>
      <c r="D554" s="45">
        <f t="shared" si="53"/>
        <v>7.7239784107897824</v>
      </c>
      <c r="E554" s="45">
        <f t="shared" si="51"/>
        <v>8.674990881462227</v>
      </c>
      <c r="F554" s="45">
        <f t="shared" si="54"/>
        <v>0.12312469301363607</v>
      </c>
    </row>
    <row r="555" spans="1:6" x14ac:dyDescent="0.2">
      <c r="A555" s="49">
        <v>29371</v>
      </c>
      <c r="B555" s="46">
        <v>590.93771000000004</v>
      </c>
      <c r="C555" s="45">
        <f t="shared" si="52"/>
        <v>18.999074380696708</v>
      </c>
      <c r="D555" s="45">
        <f t="shared" si="53"/>
        <v>7.9162809919569623</v>
      </c>
      <c r="E555" s="45">
        <f t="shared" si="51"/>
        <v>8.8646683538385425</v>
      </c>
      <c r="F555" s="45">
        <f t="shared" si="54"/>
        <v>0.11980213472022445</v>
      </c>
    </row>
    <row r="556" spans="1:6" x14ac:dyDescent="0.2">
      <c r="A556" s="49">
        <v>29341</v>
      </c>
      <c r="B556" s="46">
        <v>594.90154000000007</v>
      </c>
      <c r="C556" s="45">
        <f t="shared" si="52"/>
        <v>19.126514379410679</v>
      </c>
      <c r="D556" s="45">
        <f t="shared" si="53"/>
        <v>7.9693809914211169</v>
      </c>
      <c r="E556" s="45">
        <f t="shared" si="51"/>
        <v>9.0884901944428993</v>
      </c>
      <c r="F556" s="45">
        <f t="shared" si="54"/>
        <v>0.14042611392609811</v>
      </c>
    </row>
    <row r="557" spans="1:6" x14ac:dyDescent="0.2">
      <c r="A557" s="49">
        <v>29311</v>
      </c>
      <c r="B557" s="46">
        <v>601.15293000000008</v>
      </c>
      <c r="C557" s="45">
        <f t="shared" si="52"/>
        <v>19.32750108508689</v>
      </c>
      <c r="D557" s="45">
        <f t="shared" si="53"/>
        <v>8.0531254521195379</v>
      </c>
      <c r="E557" s="45">
        <f t="shared" si="51"/>
        <v>9.3473313800237392</v>
      </c>
      <c r="F557" s="45">
        <f t="shared" si="54"/>
        <v>0.1607085268445152</v>
      </c>
    </row>
    <row r="558" spans="1:6" x14ac:dyDescent="0.2">
      <c r="A558" s="49">
        <v>29280</v>
      </c>
      <c r="B558" s="46">
        <v>663.77233000000001</v>
      </c>
      <c r="C558" s="45">
        <f t="shared" si="52"/>
        <v>21.340760043081968</v>
      </c>
      <c r="D558" s="45">
        <f t="shared" si="53"/>
        <v>8.8919833512841535</v>
      </c>
      <c r="E558" s="45">
        <f t="shared" si="51"/>
        <v>9.4611683872086356</v>
      </c>
      <c r="F558" s="45">
        <f t="shared" si="54"/>
        <v>6.4011032571522089E-2</v>
      </c>
    </row>
    <row r="559" spans="1:6" x14ac:dyDescent="0.2">
      <c r="A559" s="49">
        <v>29251</v>
      </c>
      <c r="B559" s="46">
        <v>712.86258000000009</v>
      </c>
      <c r="C559" s="45">
        <f t="shared" si="52"/>
        <v>22.91904705258251</v>
      </c>
      <c r="D559" s="45">
        <f t="shared" si="53"/>
        <v>9.5496029385760455</v>
      </c>
      <c r="E559" s="45">
        <f t="shared" si="51"/>
        <v>9.4390597493667823</v>
      </c>
      <c r="F559" s="45">
        <f t="shared" si="54"/>
        <v>1.1575684342091238E-2</v>
      </c>
    </row>
    <row r="560" spans="1:6" x14ac:dyDescent="0.2">
      <c r="A560" s="49">
        <v>29220</v>
      </c>
      <c r="B560" s="46">
        <v>739.49138000000005</v>
      </c>
      <c r="C560" s="45">
        <f t="shared" si="52"/>
        <v>23.775182214220266</v>
      </c>
      <c r="D560" s="45">
        <f t="shared" si="53"/>
        <v>9.9063259225917779</v>
      </c>
      <c r="E560" s="45">
        <f t="shared" si="51"/>
        <v>9.3222432060605325</v>
      </c>
      <c r="F560" s="45">
        <f t="shared" si="54"/>
        <v>5.8960579441387155E-2</v>
      </c>
    </row>
    <row r="561" spans="1:6" x14ac:dyDescent="0.2">
      <c r="A561" s="49">
        <v>29189</v>
      </c>
      <c r="B561" s="46">
        <v>773.66224000000011</v>
      </c>
      <c r="C561" s="45">
        <f t="shared" si="52"/>
        <v>24.873800054656233</v>
      </c>
      <c r="D561" s="45">
        <f t="shared" si="53"/>
        <v>10.364083356106764</v>
      </c>
      <c r="E561" s="45">
        <f t="shared" si="51"/>
        <v>9.061783168548974</v>
      </c>
      <c r="F561" s="45">
        <f t="shared" si="54"/>
        <v>0.12565512480082902</v>
      </c>
    </row>
    <row r="562" spans="1:6" x14ac:dyDescent="0.2">
      <c r="A562" s="49">
        <v>29159</v>
      </c>
      <c r="B562" s="46">
        <v>784.5554800000001</v>
      </c>
      <c r="C562" s="45">
        <f t="shared" si="52"/>
        <v>25.224025591975181</v>
      </c>
      <c r="D562" s="45">
        <f t="shared" si="53"/>
        <v>10.510010663322992</v>
      </c>
      <c r="E562" s="45">
        <f t="shared" si="51"/>
        <v>8.6997262948554699</v>
      </c>
      <c r="F562" s="45">
        <f t="shared" si="54"/>
        <v>0.17224381843730285</v>
      </c>
    </row>
    <row r="563" spans="1:6" x14ac:dyDescent="0.2">
      <c r="A563" s="49">
        <v>29126</v>
      </c>
      <c r="B563" s="46">
        <v>726.41879000000006</v>
      </c>
      <c r="C563" s="45">
        <f t="shared" si="52"/>
        <v>23.354888999630269</v>
      </c>
      <c r="D563" s="45">
        <f t="shared" si="53"/>
        <v>9.731203749845946</v>
      </c>
      <c r="E563" s="45">
        <f t="shared" si="51"/>
        <v>8.44185693110785</v>
      </c>
      <c r="F563" s="45">
        <f t="shared" si="54"/>
        <v>0.13249612811349343</v>
      </c>
    </row>
    <row r="564" spans="1:6" x14ac:dyDescent="0.2">
      <c r="A564" s="49">
        <v>29098</v>
      </c>
      <c r="B564" s="46">
        <v>743.36108000000002</v>
      </c>
      <c r="C564" s="45">
        <f t="shared" si="52"/>
        <v>23.899595865417076</v>
      </c>
      <c r="D564" s="45">
        <f t="shared" si="53"/>
        <v>9.9581649439237818</v>
      </c>
      <c r="E564" s="45">
        <f t="shared" si="51"/>
        <v>8.0627799279038666</v>
      </c>
      <c r="F564" s="45">
        <f t="shared" si="54"/>
        <v>0.19033476817196435</v>
      </c>
    </row>
    <row r="565" spans="1:6" x14ac:dyDescent="0.2">
      <c r="A565" s="49">
        <v>29067</v>
      </c>
      <c r="B565" s="46">
        <v>691.86804000000006</v>
      </c>
      <c r="C565" s="45">
        <f t="shared" si="52"/>
        <v>22.244057421190544</v>
      </c>
      <c r="D565" s="45">
        <f t="shared" si="53"/>
        <v>9.2683572588293934</v>
      </c>
      <c r="E565" s="45">
        <f t="shared" si="51"/>
        <v>7.7613855951724835</v>
      </c>
      <c r="F565" s="45">
        <f t="shared" si="54"/>
        <v>0.16259317822705968</v>
      </c>
    </row>
    <row r="566" spans="1:6" x14ac:dyDescent="0.2">
      <c r="A566" s="49">
        <v>29035</v>
      </c>
      <c r="B566" s="46">
        <v>603.23515000000009</v>
      </c>
      <c r="C566" s="45">
        <f t="shared" si="52"/>
        <v>19.394445962673014</v>
      </c>
      <c r="D566" s="45">
        <f t="shared" si="53"/>
        <v>8.0810191511137557</v>
      </c>
      <c r="E566" s="45">
        <f t="shared" si="51"/>
        <v>7.6814772061871643</v>
      </c>
      <c r="F566" s="45">
        <f t="shared" si="54"/>
        <v>4.9442024261447892E-2</v>
      </c>
    </row>
    <row r="567" spans="1:6" x14ac:dyDescent="0.2">
      <c r="A567" s="49">
        <v>29006</v>
      </c>
      <c r="B567" s="46">
        <v>613.18495000000007</v>
      </c>
      <c r="C567" s="45">
        <f t="shared" si="52"/>
        <v>19.714339222274024</v>
      </c>
      <c r="D567" s="45">
        <f t="shared" si="53"/>
        <v>8.2143080092808436</v>
      </c>
      <c r="E567" s="45">
        <f t="shared" si="51"/>
        <v>7.5482695054137432</v>
      </c>
      <c r="F567" s="45">
        <f t="shared" si="54"/>
        <v>8.1082728224286735E-2</v>
      </c>
    </row>
    <row r="568" spans="1:6" x14ac:dyDescent="0.2">
      <c r="A568" s="49">
        <v>28975</v>
      </c>
      <c r="B568" s="46">
        <v>648.92551000000003</v>
      </c>
      <c r="C568" s="45">
        <f t="shared" si="52"/>
        <v>20.863424051955569</v>
      </c>
      <c r="D568" s="45">
        <f t="shared" si="53"/>
        <v>8.6930933549814871</v>
      </c>
      <c r="E568" s="45">
        <f t="shared" si="51"/>
        <v>7.2620635430218066</v>
      </c>
      <c r="F568" s="45">
        <f t="shared" si="54"/>
        <v>0.1646168692229267</v>
      </c>
    </row>
    <row r="569" spans="1:6" x14ac:dyDescent="0.2">
      <c r="A569" s="49">
        <v>28944</v>
      </c>
      <c r="B569" s="46">
        <v>769.62673000000007</v>
      </c>
      <c r="C569" s="45">
        <f t="shared" si="52"/>
        <v>24.744055492147186</v>
      </c>
      <c r="D569" s="45">
        <f t="shared" si="53"/>
        <v>10.310023121727994</v>
      </c>
      <c r="E569" s="45">
        <f t="shared" si="51"/>
        <v>6.5000736483452588</v>
      </c>
      <c r="F569" s="45">
        <f t="shared" si="54"/>
        <v>0.36953840242641234</v>
      </c>
    </row>
    <row r="570" spans="1:6" x14ac:dyDescent="0.2">
      <c r="A570" s="49">
        <v>28914</v>
      </c>
      <c r="B570" s="46">
        <v>784.78045000000009</v>
      </c>
      <c r="C570" s="45">
        <f t="shared" si="52"/>
        <v>25.231258540035689</v>
      </c>
      <c r="D570" s="45">
        <f t="shared" si="53"/>
        <v>10.513024391681538</v>
      </c>
      <c r="E570" s="45">
        <f t="shared" si="51"/>
        <v>5.496835962511188</v>
      </c>
      <c r="F570" s="45">
        <f t="shared" si="54"/>
        <v>0.47714037771465884</v>
      </c>
    </row>
    <row r="571" spans="1:6" x14ac:dyDescent="0.2">
      <c r="A571" s="49">
        <v>28886</v>
      </c>
      <c r="B571" s="46">
        <v>540.62886000000003</v>
      </c>
      <c r="C571" s="45">
        <f t="shared" si="52"/>
        <v>17.381608500651051</v>
      </c>
      <c r="D571" s="45">
        <f t="shared" si="53"/>
        <v>7.2423368752712713</v>
      </c>
      <c r="E571" s="45">
        <f t="shared" si="51"/>
        <v>5.0604607343211674</v>
      </c>
      <c r="F571" s="45">
        <f t="shared" si="54"/>
        <v>0.30126686710750095</v>
      </c>
    </row>
    <row r="572" spans="1:6" x14ac:dyDescent="0.2">
      <c r="A572" s="49">
        <v>28853</v>
      </c>
      <c r="B572" s="46">
        <v>461.85482000000002</v>
      </c>
      <c r="C572" s="45">
        <f t="shared" si="52"/>
        <v>14.848966193515199</v>
      </c>
      <c r="D572" s="45">
        <f t="shared" si="53"/>
        <v>6.1870692472979991</v>
      </c>
      <c r="E572" s="45">
        <f t="shared" si="51"/>
        <v>4.778808606076959</v>
      </c>
      <c r="F572" s="45">
        <f t="shared" si="54"/>
        <v>0.22761352506860208</v>
      </c>
    </row>
    <row r="573" spans="1:6" x14ac:dyDescent="0.2">
      <c r="A573" s="49">
        <v>28824</v>
      </c>
      <c r="B573" s="46">
        <v>459.13955000000004</v>
      </c>
      <c r="C573" s="45">
        <f t="shared" si="52"/>
        <v>14.761668300995066</v>
      </c>
      <c r="D573" s="45">
        <f t="shared" si="53"/>
        <v>6.1506951254146101</v>
      </c>
      <c r="E573" s="45">
        <f t="shared" si="51"/>
        <v>4.4358369762425465</v>
      </c>
      <c r="F573" s="45">
        <f t="shared" si="54"/>
        <v>0.27880721027551619</v>
      </c>
    </row>
    <row r="574" spans="1:6" x14ac:dyDescent="0.2">
      <c r="A574" s="49">
        <v>28794</v>
      </c>
      <c r="B574" s="46">
        <v>412.95001000000002</v>
      </c>
      <c r="C574" s="45">
        <f t="shared" si="52"/>
        <v>13.276641214011285</v>
      </c>
      <c r="D574" s="45">
        <f t="shared" si="53"/>
        <v>5.5319338391713693</v>
      </c>
      <c r="E574" s="45">
        <f t="shared" ref="E574:E580" si="55">($T$1*D575) + ((1-$T$1)*E575)</f>
        <v>4.1618127605103403</v>
      </c>
      <c r="F574" s="45">
        <f t="shared" si="54"/>
        <v>0.24767488521993242</v>
      </c>
    </row>
    <row r="575" spans="1:6" x14ac:dyDescent="0.2">
      <c r="A575" s="49">
        <v>28762</v>
      </c>
      <c r="B575" s="46">
        <v>352.03695000000005</v>
      </c>
      <c r="C575" s="45">
        <f t="shared" si="52"/>
        <v>11.318242319996143</v>
      </c>
      <c r="D575" s="45">
        <f t="shared" si="53"/>
        <v>4.7159342999983931</v>
      </c>
      <c r="E575" s="45">
        <f t="shared" si="55"/>
        <v>4.0232823756383267</v>
      </c>
      <c r="F575" s="45">
        <f t="shared" si="54"/>
        <v>0.14687480365455949</v>
      </c>
    </row>
    <row r="576" spans="1:6" x14ac:dyDescent="0.2">
      <c r="A576" s="49">
        <v>28733</v>
      </c>
      <c r="B576" s="46">
        <v>342.98376000000002</v>
      </c>
      <c r="C576" s="45">
        <f t="shared" si="52"/>
        <v>11.027175719774302</v>
      </c>
      <c r="D576" s="45">
        <f t="shared" si="53"/>
        <v>4.5946565499059595</v>
      </c>
      <c r="E576" s="45">
        <f t="shared" si="55"/>
        <v>3.8804388320714183</v>
      </c>
      <c r="F576" s="45">
        <f t="shared" si="54"/>
        <v>0.1554452895612316</v>
      </c>
    </row>
    <row r="577" spans="1:6" x14ac:dyDescent="0.2">
      <c r="A577" s="49">
        <v>28702</v>
      </c>
      <c r="B577" s="46">
        <v>327.40582000000001</v>
      </c>
      <c r="C577" s="45">
        <f t="shared" si="52"/>
        <v>10.526333692349736</v>
      </c>
      <c r="D577" s="45">
        <f t="shared" si="53"/>
        <v>4.3859723718123895</v>
      </c>
      <c r="E577" s="45">
        <f t="shared" si="55"/>
        <v>3.7540554471361749</v>
      </c>
      <c r="F577" s="45">
        <f t="shared" si="54"/>
        <v>0.14407681378418974</v>
      </c>
    </row>
    <row r="578" spans="1:6" x14ac:dyDescent="0.2">
      <c r="A578" s="49">
        <v>28671</v>
      </c>
      <c r="B578" s="46">
        <v>297.74976000000004</v>
      </c>
      <c r="C578" s="45">
        <f t="shared" si="52"/>
        <v>9.5728699342517736</v>
      </c>
      <c r="D578" s="45">
        <f t="shared" si="53"/>
        <v>3.9886958059382387</v>
      </c>
      <c r="E578" s="45">
        <f t="shared" si="55"/>
        <v>3.6953953574356588</v>
      </c>
      <c r="F578" s="45">
        <f t="shared" si="54"/>
        <v>7.3532919724267717E-2</v>
      </c>
    </row>
    <row r="579" spans="1:6" x14ac:dyDescent="0.2">
      <c r="A579" s="49">
        <v>28641</v>
      </c>
      <c r="B579" s="46">
        <v>274.23889000000003</v>
      </c>
      <c r="C579" s="45">
        <f t="shared" si="52"/>
        <v>8.8169784750912292</v>
      </c>
      <c r="D579" s="45">
        <f t="shared" si="53"/>
        <v>3.6737410312880119</v>
      </c>
      <c r="E579" s="45">
        <f t="shared" si="55"/>
        <v>3.7008089389725702</v>
      </c>
      <c r="F579" s="45">
        <f t="shared" si="54"/>
        <v>7.3679411406601955E-3</v>
      </c>
    </row>
    <row r="580" spans="1:6" x14ac:dyDescent="0.2">
      <c r="A580" s="49">
        <v>28608</v>
      </c>
      <c r="B580" s="46">
        <v>284.20489000000003</v>
      </c>
      <c r="C580" s="45">
        <f t="shared" si="52"/>
        <v>9.1373925763981561</v>
      </c>
      <c r="D580" s="45">
        <f t="shared" si="53"/>
        <v>3.8072469068325647</v>
      </c>
      <c r="E580" s="45">
        <f t="shared" si="55"/>
        <v>3.6741994470075716</v>
      </c>
      <c r="F580" s="45">
        <f t="shared" si="54"/>
        <v>3.4945844879727489E-2</v>
      </c>
    </row>
    <row r="581" spans="1:6" x14ac:dyDescent="0.2">
      <c r="A581" s="49">
        <v>28580</v>
      </c>
      <c r="B581" s="46">
        <v>293.17263000000003</v>
      </c>
      <c r="C581" s="45">
        <f t="shared" si="52"/>
        <v>9.4257118973748941</v>
      </c>
      <c r="D581" s="45">
        <f t="shared" si="53"/>
        <v>3.9273799572395389</v>
      </c>
      <c r="E581" s="45">
        <f>($T$1*D582) + ((1-$T$1)*E582)</f>
        <v>3.6109043194495798</v>
      </c>
      <c r="F581" s="45">
        <f t="shared" si="54"/>
        <v>8.0581874235667858E-2</v>
      </c>
    </row>
    <row r="582" spans="1:6" x14ac:dyDescent="0.2">
      <c r="A582" s="49">
        <v>28549</v>
      </c>
      <c r="B582" s="46">
        <v>269.54823000000005</v>
      </c>
      <c r="C582" s="45">
        <f t="shared" si="52"/>
        <v>8.6661703666789922</v>
      </c>
      <c r="D582" s="45">
        <f t="shared" si="53"/>
        <v>3.6109043194495798</v>
      </c>
      <c r="E582" s="45">
        <f>D582</f>
        <v>3.6109043194495798</v>
      </c>
      <c r="F582" s="45">
        <f t="shared" si="54"/>
        <v>0</v>
      </c>
    </row>
  </sheetData>
  <sortState xmlns:xlrd2="http://schemas.microsoft.com/office/spreadsheetml/2017/richdata2" ref="S16:S27">
    <sortCondition descending="1" ref="S16:S27"/>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B0CAA-5487-FD47-853A-6B13E6F411F7}">
  <dimension ref="A1:DB56"/>
  <sheetViews>
    <sheetView workbookViewId="0">
      <selection activeCell="G5" sqref="G5"/>
    </sheetView>
  </sheetViews>
  <sheetFormatPr baseColWidth="10" defaultRowHeight="16" x14ac:dyDescent="0.2"/>
  <cols>
    <col min="1" max="1" width="19" style="49" customWidth="1"/>
    <col min="2" max="2" width="22.6640625" style="45" customWidth="1"/>
    <col min="7" max="7" width="12.6640625" bestFit="1" customWidth="1"/>
  </cols>
  <sheetData>
    <row r="1" spans="1:106" x14ac:dyDescent="0.2">
      <c r="A1" s="48" t="s">
        <v>215</v>
      </c>
      <c r="B1" s="47" t="s">
        <v>226</v>
      </c>
      <c r="C1" s="32" t="s">
        <v>234</v>
      </c>
      <c r="F1" s="32" t="s">
        <v>240</v>
      </c>
      <c r="G1" s="32" t="s">
        <v>241</v>
      </c>
      <c r="H1" s="32" t="s">
        <v>242</v>
      </c>
      <c r="I1" s="32" t="s">
        <v>243</v>
      </c>
      <c r="J1" s="32" t="s">
        <v>244</v>
      </c>
      <c r="K1" s="32" t="s">
        <v>245</v>
      </c>
      <c r="L1" s="32" t="s">
        <v>246</v>
      </c>
      <c r="M1" s="32" t="s">
        <v>247</v>
      </c>
      <c r="N1" s="32" t="s">
        <v>248</v>
      </c>
      <c r="O1" s="32" t="s">
        <v>249</v>
      </c>
      <c r="P1" s="32" t="s">
        <v>250</v>
      </c>
      <c r="Q1" s="32" t="s">
        <v>251</v>
      </c>
      <c r="R1" s="32" t="s">
        <v>252</v>
      </c>
      <c r="S1" s="32" t="s">
        <v>253</v>
      </c>
      <c r="T1" s="32" t="s">
        <v>254</v>
      </c>
      <c r="U1" s="32" t="s">
        <v>255</v>
      </c>
      <c r="V1" s="32" t="s">
        <v>256</v>
      </c>
      <c r="W1" s="32" t="s">
        <v>257</v>
      </c>
      <c r="X1" s="32" t="s">
        <v>258</v>
      </c>
      <c r="Y1" s="32" t="s">
        <v>259</v>
      </c>
      <c r="Z1" s="32" t="s">
        <v>260</v>
      </c>
      <c r="AA1" s="32" t="s">
        <v>261</v>
      </c>
      <c r="AB1" s="32" t="s">
        <v>262</v>
      </c>
      <c r="AC1" s="32" t="s">
        <v>263</v>
      </c>
      <c r="AD1" s="32" t="s">
        <v>264</v>
      </c>
      <c r="AE1" s="32" t="s">
        <v>265</v>
      </c>
      <c r="AF1" s="32" t="s">
        <v>266</v>
      </c>
      <c r="AG1" s="32" t="s">
        <v>267</v>
      </c>
      <c r="AH1" s="32" t="s">
        <v>268</v>
      </c>
      <c r="AI1" s="32" t="s">
        <v>269</v>
      </c>
      <c r="AJ1" s="32" t="s">
        <v>270</v>
      </c>
      <c r="AK1" s="32" t="s">
        <v>271</v>
      </c>
      <c r="AL1" s="32" t="s">
        <v>272</v>
      </c>
      <c r="AM1" s="32" t="s">
        <v>273</v>
      </c>
      <c r="AN1" s="32" t="s">
        <v>274</v>
      </c>
      <c r="AO1" s="32" t="s">
        <v>275</v>
      </c>
      <c r="AP1" s="32" t="s">
        <v>276</v>
      </c>
      <c r="AQ1" s="32" t="s">
        <v>277</v>
      </c>
      <c r="AR1" s="32" t="s">
        <v>278</v>
      </c>
      <c r="AS1" s="32" t="s">
        <v>279</v>
      </c>
      <c r="AT1" s="32" t="s">
        <v>280</v>
      </c>
      <c r="AU1" s="32" t="s">
        <v>281</v>
      </c>
      <c r="AV1" s="32" t="s">
        <v>282</v>
      </c>
      <c r="AW1" s="32" t="s">
        <v>283</v>
      </c>
      <c r="AX1" s="32" t="s">
        <v>284</v>
      </c>
      <c r="AY1" s="32" t="s">
        <v>285</v>
      </c>
      <c r="AZ1" s="32" t="s">
        <v>286</v>
      </c>
      <c r="BA1" s="32" t="s">
        <v>287</v>
      </c>
      <c r="BB1" s="32" t="s">
        <v>288</v>
      </c>
      <c r="BC1" s="32" t="s">
        <v>289</v>
      </c>
      <c r="BD1" s="32" t="s">
        <v>290</v>
      </c>
      <c r="BE1" s="32" t="s">
        <v>291</v>
      </c>
      <c r="BF1" s="32" t="s">
        <v>292</v>
      </c>
      <c r="BG1" s="32" t="s">
        <v>293</v>
      </c>
      <c r="BH1" s="32" t="s">
        <v>294</v>
      </c>
      <c r="BI1" s="32" t="s">
        <v>295</v>
      </c>
      <c r="BJ1" s="32" t="s">
        <v>296</v>
      </c>
      <c r="BK1" s="32" t="s">
        <v>297</v>
      </c>
      <c r="BL1" s="32" t="s">
        <v>298</v>
      </c>
      <c r="BM1" s="32" t="s">
        <v>299</v>
      </c>
      <c r="BN1" s="32" t="s">
        <v>300</v>
      </c>
      <c r="BO1" s="32" t="s">
        <v>301</v>
      </c>
      <c r="BP1" s="32" t="s">
        <v>302</v>
      </c>
      <c r="BQ1" s="32" t="s">
        <v>303</v>
      </c>
      <c r="BR1" s="32" t="s">
        <v>304</v>
      </c>
      <c r="BS1" s="32" t="s">
        <v>305</v>
      </c>
      <c r="BT1" s="32" t="s">
        <v>306</v>
      </c>
      <c r="BU1" s="32" t="s">
        <v>307</v>
      </c>
      <c r="BV1" s="32" t="s">
        <v>308</v>
      </c>
      <c r="BW1" s="32" t="s">
        <v>309</v>
      </c>
      <c r="BX1" s="32" t="s">
        <v>310</v>
      </c>
      <c r="BY1" s="32" t="s">
        <v>311</v>
      </c>
      <c r="BZ1" s="32" t="s">
        <v>312</v>
      </c>
      <c r="CA1" s="32" t="s">
        <v>313</v>
      </c>
      <c r="CB1" s="32" t="s">
        <v>314</v>
      </c>
      <c r="CC1" s="32" t="s">
        <v>315</v>
      </c>
      <c r="CD1" s="32" t="s">
        <v>316</v>
      </c>
      <c r="CE1" s="32" t="s">
        <v>317</v>
      </c>
      <c r="CF1" s="32" t="s">
        <v>318</v>
      </c>
      <c r="CG1" s="32" t="s">
        <v>319</v>
      </c>
      <c r="CH1" s="32" t="s">
        <v>320</v>
      </c>
      <c r="CI1" s="32" t="s">
        <v>321</v>
      </c>
      <c r="CJ1" s="32" t="s">
        <v>322</v>
      </c>
      <c r="CK1" s="32" t="s">
        <v>323</v>
      </c>
      <c r="CL1" s="32" t="s">
        <v>324</v>
      </c>
      <c r="CM1" s="32" t="s">
        <v>325</v>
      </c>
      <c r="CN1" s="32" t="s">
        <v>326</v>
      </c>
      <c r="CO1" s="32" t="s">
        <v>327</v>
      </c>
      <c r="CP1" s="32" t="s">
        <v>328</v>
      </c>
      <c r="CQ1" s="32" t="s">
        <v>329</v>
      </c>
      <c r="CR1" s="32" t="s">
        <v>330</v>
      </c>
      <c r="CS1" s="32" t="s">
        <v>331</v>
      </c>
      <c r="CT1" s="32" t="s">
        <v>332</v>
      </c>
      <c r="CU1" s="32" t="s">
        <v>333</v>
      </c>
      <c r="CV1" s="32" t="s">
        <v>334</v>
      </c>
      <c r="CW1" s="32" t="s">
        <v>335</v>
      </c>
      <c r="CX1" s="32" t="s">
        <v>336</v>
      </c>
      <c r="CY1" s="32" t="s">
        <v>337</v>
      </c>
      <c r="CZ1" s="32" t="s">
        <v>338</v>
      </c>
      <c r="DA1" s="32" t="s">
        <v>339</v>
      </c>
      <c r="DB1" s="32" t="s">
        <v>340</v>
      </c>
    </row>
    <row r="2" spans="1:106" x14ac:dyDescent="0.2">
      <c r="A2" s="49">
        <v>44407</v>
      </c>
      <c r="B2" s="45">
        <v>30.317327631938525</v>
      </c>
      <c r="F2">
        <v>0</v>
      </c>
      <c r="G2">
        <f>$B$54</f>
        <v>61.393546278285946</v>
      </c>
      <c r="H2">
        <f t="shared" ref="H2:BS2" si="0">$B$54</f>
        <v>61.393546278285946</v>
      </c>
      <c r="I2">
        <f t="shared" si="0"/>
        <v>61.393546278285946</v>
      </c>
      <c r="J2">
        <f t="shared" si="0"/>
        <v>61.393546278285946</v>
      </c>
      <c r="K2">
        <f t="shared" si="0"/>
        <v>61.393546278285946</v>
      </c>
      <c r="L2">
        <f t="shared" si="0"/>
        <v>61.393546278285946</v>
      </c>
      <c r="M2">
        <f t="shared" si="0"/>
        <v>61.393546278285946</v>
      </c>
      <c r="N2">
        <f t="shared" si="0"/>
        <v>61.393546278285946</v>
      </c>
      <c r="O2">
        <f t="shared" si="0"/>
        <v>61.393546278285946</v>
      </c>
      <c r="P2">
        <f t="shared" si="0"/>
        <v>61.393546278285946</v>
      </c>
      <c r="Q2">
        <f t="shared" si="0"/>
        <v>61.393546278285946</v>
      </c>
      <c r="R2">
        <f t="shared" si="0"/>
        <v>61.393546278285946</v>
      </c>
      <c r="S2">
        <f t="shared" si="0"/>
        <v>61.393546278285946</v>
      </c>
      <c r="T2">
        <f t="shared" si="0"/>
        <v>61.393546278285946</v>
      </c>
      <c r="U2">
        <f t="shared" si="0"/>
        <v>61.393546278285946</v>
      </c>
      <c r="V2">
        <f t="shared" si="0"/>
        <v>61.393546278285946</v>
      </c>
      <c r="W2">
        <f t="shared" si="0"/>
        <v>61.393546278285946</v>
      </c>
      <c r="X2">
        <f t="shared" si="0"/>
        <v>61.393546278285946</v>
      </c>
      <c r="Y2">
        <f t="shared" si="0"/>
        <v>61.393546278285946</v>
      </c>
      <c r="Z2">
        <f t="shared" si="0"/>
        <v>61.393546278285946</v>
      </c>
      <c r="AA2">
        <f t="shared" si="0"/>
        <v>61.393546278285946</v>
      </c>
      <c r="AB2">
        <f t="shared" si="0"/>
        <v>61.393546278285946</v>
      </c>
      <c r="AC2">
        <f t="shared" si="0"/>
        <v>61.393546278285946</v>
      </c>
      <c r="AD2">
        <f t="shared" si="0"/>
        <v>61.393546278285946</v>
      </c>
      <c r="AE2">
        <f t="shared" si="0"/>
        <v>61.393546278285946</v>
      </c>
      <c r="AF2">
        <f t="shared" si="0"/>
        <v>61.393546278285946</v>
      </c>
      <c r="AG2">
        <f t="shared" si="0"/>
        <v>61.393546278285946</v>
      </c>
      <c r="AH2">
        <f t="shared" si="0"/>
        <v>61.393546278285946</v>
      </c>
      <c r="AI2">
        <f t="shared" si="0"/>
        <v>61.393546278285946</v>
      </c>
      <c r="AJ2">
        <f t="shared" si="0"/>
        <v>61.393546278285946</v>
      </c>
      <c r="AK2">
        <f t="shared" si="0"/>
        <v>61.393546278285946</v>
      </c>
      <c r="AL2">
        <f t="shared" si="0"/>
        <v>61.393546278285946</v>
      </c>
      <c r="AM2">
        <f t="shared" si="0"/>
        <v>61.393546278285946</v>
      </c>
      <c r="AN2">
        <f t="shared" si="0"/>
        <v>61.393546278285946</v>
      </c>
      <c r="AO2">
        <f t="shared" si="0"/>
        <v>61.393546278285946</v>
      </c>
      <c r="AP2">
        <f t="shared" si="0"/>
        <v>61.393546278285946</v>
      </c>
      <c r="AQ2">
        <f t="shared" si="0"/>
        <v>61.393546278285946</v>
      </c>
      <c r="AR2">
        <f t="shared" si="0"/>
        <v>61.393546278285946</v>
      </c>
      <c r="AS2">
        <f t="shared" si="0"/>
        <v>61.393546278285946</v>
      </c>
      <c r="AT2">
        <f t="shared" si="0"/>
        <v>61.393546278285946</v>
      </c>
      <c r="AU2">
        <f t="shared" si="0"/>
        <v>61.393546278285946</v>
      </c>
      <c r="AV2">
        <f t="shared" si="0"/>
        <v>61.393546278285946</v>
      </c>
      <c r="AW2">
        <f t="shared" si="0"/>
        <v>61.393546278285946</v>
      </c>
      <c r="AX2">
        <f t="shared" si="0"/>
        <v>61.393546278285946</v>
      </c>
      <c r="AY2">
        <f t="shared" si="0"/>
        <v>61.393546278285946</v>
      </c>
      <c r="AZ2">
        <f t="shared" si="0"/>
        <v>61.393546278285946</v>
      </c>
      <c r="BA2">
        <f t="shared" si="0"/>
        <v>61.393546278285946</v>
      </c>
      <c r="BB2">
        <f t="shared" si="0"/>
        <v>61.393546278285946</v>
      </c>
      <c r="BC2">
        <f t="shared" si="0"/>
        <v>61.393546278285946</v>
      </c>
      <c r="BD2">
        <f t="shared" si="0"/>
        <v>61.393546278285946</v>
      </c>
      <c r="BE2">
        <f t="shared" si="0"/>
        <v>61.393546278285946</v>
      </c>
      <c r="BF2">
        <f t="shared" si="0"/>
        <v>61.393546278285946</v>
      </c>
      <c r="BG2">
        <f t="shared" si="0"/>
        <v>61.393546278285946</v>
      </c>
      <c r="BH2">
        <f t="shared" si="0"/>
        <v>61.393546278285946</v>
      </c>
      <c r="BI2">
        <f t="shared" si="0"/>
        <v>61.393546278285946</v>
      </c>
      <c r="BJ2">
        <f t="shared" si="0"/>
        <v>61.393546278285946</v>
      </c>
      <c r="BK2">
        <f t="shared" si="0"/>
        <v>61.393546278285946</v>
      </c>
      <c r="BL2">
        <f t="shared" si="0"/>
        <v>61.393546278285946</v>
      </c>
      <c r="BM2">
        <f t="shared" si="0"/>
        <v>61.393546278285946</v>
      </c>
      <c r="BN2">
        <f t="shared" si="0"/>
        <v>61.393546278285946</v>
      </c>
      <c r="BO2">
        <f t="shared" si="0"/>
        <v>61.393546278285946</v>
      </c>
      <c r="BP2">
        <f t="shared" si="0"/>
        <v>61.393546278285946</v>
      </c>
      <c r="BQ2">
        <f t="shared" si="0"/>
        <v>61.393546278285946</v>
      </c>
      <c r="BR2">
        <f t="shared" si="0"/>
        <v>61.393546278285946</v>
      </c>
      <c r="BS2">
        <f t="shared" si="0"/>
        <v>61.393546278285946</v>
      </c>
      <c r="BT2">
        <f t="shared" ref="BT2:DB2" si="1">$B$54</f>
        <v>61.393546278285946</v>
      </c>
      <c r="BU2">
        <f t="shared" si="1"/>
        <v>61.393546278285946</v>
      </c>
      <c r="BV2">
        <f t="shared" si="1"/>
        <v>61.393546278285946</v>
      </c>
      <c r="BW2">
        <f t="shared" si="1"/>
        <v>61.393546278285946</v>
      </c>
      <c r="BX2">
        <f t="shared" si="1"/>
        <v>61.393546278285946</v>
      </c>
      <c r="BY2">
        <f t="shared" si="1"/>
        <v>61.393546278285946</v>
      </c>
      <c r="BZ2">
        <f t="shared" si="1"/>
        <v>61.393546278285946</v>
      </c>
      <c r="CA2">
        <f t="shared" si="1"/>
        <v>61.393546278285946</v>
      </c>
      <c r="CB2">
        <f t="shared" si="1"/>
        <v>61.393546278285946</v>
      </c>
      <c r="CC2">
        <f t="shared" si="1"/>
        <v>61.393546278285946</v>
      </c>
      <c r="CD2">
        <f t="shared" si="1"/>
        <v>61.393546278285946</v>
      </c>
      <c r="CE2">
        <f t="shared" si="1"/>
        <v>61.393546278285946</v>
      </c>
      <c r="CF2">
        <f t="shared" si="1"/>
        <v>61.393546278285946</v>
      </c>
      <c r="CG2">
        <f t="shared" si="1"/>
        <v>61.393546278285946</v>
      </c>
      <c r="CH2">
        <f t="shared" si="1"/>
        <v>61.393546278285946</v>
      </c>
      <c r="CI2">
        <f t="shared" si="1"/>
        <v>61.393546278285946</v>
      </c>
      <c r="CJ2">
        <f t="shared" si="1"/>
        <v>61.393546278285946</v>
      </c>
      <c r="CK2">
        <f t="shared" si="1"/>
        <v>61.393546278285946</v>
      </c>
      <c r="CL2">
        <f t="shared" si="1"/>
        <v>61.393546278285946</v>
      </c>
      <c r="CM2">
        <f t="shared" si="1"/>
        <v>61.393546278285946</v>
      </c>
      <c r="CN2">
        <f t="shared" si="1"/>
        <v>61.393546278285946</v>
      </c>
      <c r="CO2">
        <f t="shared" si="1"/>
        <v>61.393546278285946</v>
      </c>
      <c r="CP2">
        <f t="shared" si="1"/>
        <v>61.393546278285946</v>
      </c>
      <c r="CQ2">
        <f t="shared" si="1"/>
        <v>61.393546278285946</v>
      </c>
      <c r="CR2">
        <f t="shared" si="1"/>
        <v>61.393546278285946</v>
      </c>
      <c r="CS2">
        <f t="shared" si="1"/>
        <v>61.393546278285946</v>
      </c>
      <c r="CT2">
        <f t="shared" si="1"/>
        <v>61.393546278285946</v>
      </c>
      <c r="CU2">
        <f t="shared" si="1"/>
        <v>61.393546278285946</v>
      </c>
      <c r="CV2">
        <f t="shared" si="1"/>
        <v>61.393546278285946</v>
      </c>
      <c r="CW2">
        <f t="shared" si="1"/>
        <v>61.393546278285946</v>
      </c>
      <c r="CX2">
        <f t="shared" si="1"/>
        <v>61.393546278285946</v>
      </c>
      <c r="CY2">
        <f t="shared" si="1"/>
        <v>61.393546278285946</v>
      </c>
      <c r="CZ2">
        <f t="shared" si="1"/>
        <v>61.393546278285946</v>
      </c>
      <c r="DA2">
        <f t="shared" si="1"/>
        <v>61.393546278285946</v>
      </c>
      <c r="DB2">
        <f t="shared" si="1"/>
        <v>61.393546278285946</v>
      </c>
    </row>
    <row r="3" spans="1:106" x14ac:dyDescent="0.2">
      <c r="A3" s="49">
        <v>44439</v>
      </c>
      <c r="B3" s="45">
        <v>30.1107592393139</v>
      </c>
      <c r="C3">
        <f t="shared" ref="C3:C49" si="2">LN(B3/B2)</f>
        <v>-6.8368604054533265E-3</v>
      </c>
      <c r="F3">
        <v>1</v>
      </c>
      <c r="G3">
        <f ca="1">G2 * EXP($B$51 - 0.5 * $B$52^2 + $B$52 * _xlfn.NORM.S.INV(RAND()))</f>
        <v>60.582212473428591</v>
      </c>
      <c r="H3">
        <f t="shared" ref="H3:BS6" ca="1" si="3">H2 * EXP($B$51 - 0.5 * $B$52^2 + $B$52 * _xlfn.NORM.S.INV(RAND()))</f>
        <v>63.523995308242192</v>
      </c>
      <c r="I3">
        <f t="shared" ca="1" si="3"/>
        <v>65.747406187952834</v>
      </c>
      <c r="J3">
        <f t="shared" ca="1" si="3"/>
        <v>64.108433935091483</v>
      </c>
      <c r="K3">
        <f t="shared" ca="1" si="3"/>
        <v>60.505056193101254</v>
      </c>
      <c r="L3">
        <f t="shared" ca="1" si="3"/>
        <v>63.140193563484907</v>
      </c>
      <c r="M3">
        <f t="shared" ca="1" si="3"/>
        <v>60.883977760048992</v>
      </c>
      <c r="N3">
        <f t="shared" ca="1" si="3"/>
        <v>57.996614332768019</v>
      </c>
      <c r="O3">
        <f t="shared" ca="1" si="3"/>
        <v>61.706457956667485</v>
      </c>
      <c r="P3">
        <f t="shared" ca="1" si="3"/>
        <v>62.447639496212574</v>
      </c>
      <c r="Q3">
        <f t="shared" ca="1" si="3"/>
        <v>57.744780872332079</v>
      </c>
      <c r="R3">
        <f t="shared" ca="1" si="3"/>
        <v>60.117294976336773</v>
      </c>
      <c r="S3">
        <f t="shared" ca="1" si="3"/>
        <v>62.841611492073419</v>
      </c>
      <c r="T3">
        <f t="shared" ca="1" si="3"/>
        <v>61.475390471524257</v>
      </c>
      <c r="U3">
        <f t="shared" ca="1" si="3"/>
        <v>58.36194181757395</v>
      </c>
      <c r="V3">
        <f t="shared" ca="1" si="3"/>
        <v>63.060746788340182</v>
      </c>
      <c r="W3">
        <f t="shared" ca="1" si="3"/>
        <v>62.508147187473284</v>
      </c>
      <c r="X3">
        <f t="shared" ca="1" si="3"/>
        <v>65.481826314183394</v>
      </c>
      <c r="Y3">
        <f t="shared" ca="1" si="3"/>
        <v>59.683712581837483</v>
      </c>
      <c r="Z3">
        <f t="shared" ca="1" si="3"/>
        <v>62.769681648119814</v>
      </c>
      <c r="AA3">
        <f t="shared" ca="1" si="3"/>
        <v>60.629030153676418</v>
      </c>
      <c r="AB3">
        <f t="shared" ca="1" si="3"/>
        <v>59.192383987203421</v>
      </c>
      <c r="AC3">
        <f t="shared" ca="1" si="3"/>
        <v>64.263876756014852</v>
      </c>
      <c r="AD3">
        <f t="shared" ca="1" si="3"/>
        <v>63.386809057553002</v>
      </c>
      <c r="AE3">
        <f t="shared" ca="1" si="3"/>
        <v>63.433644809926029</v>
      </c>
      <c r="AF3">
        <f t="shared" ca="1" si="3"/>
        <v>63.864948779459802</v>
      </c>
      <c r="AG3">
        <f t="shared" ca="1" si="3"/>
        <v>61.884980184516337</v>
      </c>
      <c r="AH3">
        <f t="shared" ca="1" si="3"/>
        <v>61.819457382837825</v>
      </c>
      <c r="AI3">
        <f t="shared" ca="1" si="3"/>
        <v>63.623563230614508</v>
      </c>
      <c r="AJ3">
        <f t="shared" ca="1" si="3"/>
        <v>60.997058097424528</v>
      </c>
      <c r="AK3">
        <f t="shared" ca="1" si="3"/>
        <v>65.391617342289635</v>
      </c>
      <c r="AL3">
        <f t="shared" ca="1" si="3"/>
        <v>60.78481443690432</v>
      </c>
      <c r="AM3">
        <f t="shared" ca="1" si="3"/>
        <v>61.92197564194133</v>
      </c>
      <c r="AN3">
        <f t="shared" ca="1" si="3"/>
        <v>67.72529035935105</v>
      </c>
      <c r="AO3">
        <f t="shared" ca="1" si="3"/>
        <v>63.512052211812765</v>
      </c>
      <c r="AP3">
        <f t="shared" ca="1" si="3"/>
        <v>64.799382039013977</v>
      </c>
      <c r="AQ3">
        <f t="shared" ca="1" si="3"/>
        <v>61.198831323020585</v>
      </c>
      <c r="AR3">
        <f t="shared" ca="1" si="3"/>
        <v>64.494043768645597</v>
      </c>
      <c r="AS3">
        <f t="shared" ca="1" si="3"/>
        <v>61.688574697341608</v>
      </c>
      <c r="AT3">
        <f t="shared" ca="1" si="3"/>
        <v>59.967347023780391</v>
      </c>
      <c r="AU3">
        <f t="shared" ca="1" si="3"/>
        <v>62.56812250128327</v>
      </c>
      <c r="AV3">
        <f t="shared" ca="1" si="3"/>
        <v>59.973397160057196</v>
      </c>
      <c r="AW3">
        <f t="shared" ca="1" si="3"/>
        <v>61.430314170293492</v>
      </c>
      <c r="AX3">
        <f t="shared" ca="1" si="3"/>
        <v>63.935155267417201</v>
      </c>
      <c r="AY3">
        <f t="shared" ca="1" si="3"/>
        <v>61.932679180935004</v>
      </c>
      <c r="AZ3">
        <f t="shared" ca="1" si="3"/>
        <v>61.853492674403704</v>
      </c>
      <c r="BA3">
        <f t="shared" ca="1" si="3"/>
        <v>59.344292461583905</v>
      </c>
      <c r="BB3">
        <f t="shared" ca="1" si="3"/>
        <v>60.881103620624927</v>
      </c>
      <c r="BC3">
        <f t="shared" ca="1" si="3"/>
        <v>60.922893965270283</v>
      </c>
      <c r="BD3">
        <f t="shared" ca="1" si="3"/>
        <v>60.298949958158282</v>
      </c>
      <c r="BE3">
        <f t="shared" ca="1" si="3"/>
        <v>60.175922125886416</v>
      </c>
      <c r="BF3">
        <f t="shared" ca="1" si="3"/>
        <v>60.350233588201853</v>
      </c>
      <c r="BG3">
        <f t="shared" ca="1" si="3"/>
        <v>62.527767993732461</v>
      </c>
      <c r="BH3">
        <f t="shared" ca="1" si="3"/>
        <v>62.942108502579764</v>
      </c>
      <c r="BI3">
        <f t="shared" ca="1" si="3"/>
        <v>61.892399080677137</v>
      </c>
      <c r="BJ3">
        <f t="shared" ca="1" si="3"/>
        <v>63.454820844948756</v>
      </c>
      <c r="BK3">
        <f t="shared" ca="1" si="3"/>
        <v>63.106637922157311</v>
      </c>
      <c r="BL3">
        <f t="shared" ca="1" si="3"/>
        <v>62.427563990937607</v>
      </c>
      <c r="BM3">
        <f t="shared" ca="1" si="3"/>
        <v>62.979265513048162</v>
      </c>
      <c r="BN3">
        <f t="shared" ca="1" si="3"/>
        <v>60.128455134317868</v>
      </c>
      <c r="BO3">
        <f t="shared" ca="1" si="3"/>
        <v>61.662499889533663</v>
      </c>
      <c r="BP3">
        <f t="shared" ca="1" si="3"/>
        <v>64.63014383581114</v>
      </c>
      <c r="BQ3">
        <f t="shared" ca="1" si="3"/>
        <v>60.740788082791333</v>
      </c>
      <c r="BR3">
        <f t="shared" ca="1" si="3"/>
        <v>63.181834087250067</v>
      </c>
      <c r="BS3">
        <f t="shared" ca="1" si="3"/>
        <v>62.041494986007372</v>
      </c>
      <c r="BT3">
        <f t="shared" ref="BT3:DB10" ca="1" si="4">BT2 * EXP($B$51 - 0.5 * $B$52^2 + $B$52 * _xlfn.NORM.S.INV(RAND()))</f>
        <v>62.658428025359328</v>
      </c>
      <c r="BU3">
        <f t="shared" ca="1" si="4"/>
        <v>59.409101513863511</v>
      </c>
      <c r="BV3">
        <f t="shared" ca="1" si="4"/>
        <v>60.709197808957676</v>
      </c>
      <c r="BW3">
        <f t="shared" ca="1" si="4"/>
        <v>61.401816696238804</v>
      </c>
      <c r="BX3">
        <f t="shared" ca="1" si="4"/>
        <v>60.81927408768982</v>
      </c>
      <c r="BY3">
        <f t="shared" ca="1" si="4"/>
        <v>63.097478748021857</v>
      </c>
      <c r="BZ3">
        <f t="shared" ca="1" si="4"/>
        <v>64.411073264294686</v>
      </c>
      <c r="CA3">
        <f t="shared" ca="1" si="4"/>
        <v>64.679356928372343</v>
      </c>
      <c r="CB3">
        <f t="shared" ca="1" si="4"/>
        <v>65.24529818969053</v>
      </c>
      <c r="CC3">
        <f t="shared" ca="1" si="4"/>
        <v>60.775943001027201</v>
      </c>
      <c r="CD3">
        <f t="shared" ca="1" si="4"/>
        <v>60.893376419659774</v>
      </c>
      <c r="CE3">
        <f t="shared" ca="1" si="4"/>
        <v>63.608675101622651</v>
      </c>
      <c r="CF3">
        <f t="shared" ca="1" si="4"/>
        <v>64.339304890345488</v>
      </c>
      <c r="CG3">
        <f t="shared" ca="1" si="4"/>
        <v>61.39897044435034</v>
      </c>
      <c r="CH3">
        <f t="shared" ca="1" si="4"/>
        <v>63.299378315518638</v>
      </c>
      <c r="CI3">
        <f t="shared" ca="1" si="4"/>
        <v>60.407675254515958</v>
      </c>
      <c r="CJ3">
        <f t="shared" ca="1" si="4"/>
        <v>61.526521845041927</v>
      </c>
      <c r="CK3">
        <f t="shared" ca="1" si="4"/>
        <v>61.035916219331533</v>
      </c>
      <c r="CL3">
        <f t="shared" ca="1" si="4"/>
        <v>64.813746511005803</v>
      </c>
      <c r="CM3">
        <f t="shared" ca="1" si="4"/>
        <v>62.556429316241626</v>
      </c>
      <c r="CN3">
        <f t="shared" ca="1" si="4"/>
        <v>61.83076854225817</v>
      </c>
      <c r="CO3">
        <f t="shared" ca="1" si="4"/>
        <v>61.976730052424614</v>
      </c>
      <c r="CP3">
        <f t="shared" ca="1" si="4"/>
        <v>63.824587465317641</v>
      </c>
      <c r="CQ3">
        <f t="shared" ca="1" si="4"/>
        <v>60.635375947219387</v>
      </c>
      <c r="CR3">
        <f t="shared" ca="1" si="4"/>
        <v>59.391447724489687</v>
      </c>
      <c r="CS3">
        <f t="shared" ca="1" si="4"/>
        <v>60.813417496492463</v>
      </c>
      <c r="CT3">
        <f t="shared" ca="1" si="4"/>
        <v>61.264115752685598</v>
      </c>
      <c r="CU3">
        <f t="shared" ca="1" si="4"/>
        <v>63.284368206557133</v>
      </c>
      <c r="CV3">
        <f t="shared" ca="1" si="4"/>
        <v>61.66974490969347</v>
      </c>
      <c r="CW3">
        <f t="shared" ca="1" si="4"/>
        <v>63.539125204708476</v>
      </c>
      <c r="CX3">
        <f t="shared" ca="1" si="4"/>
        <v>62.38747289315306</v>
      </c>
      <c r="CY3">
        <f t="shared" ca="1" si="4"/>
        <v>63.498154984782921</v>
      </c>
      <c r="CZ3">
        <f t="shared" ca="1" si="4"/>
        <v>63.45482118025496</v>
      </c>
      <c r="DA3">
        <f t="shared" ca="1" si="4"/>
        <v>63.613421422514755</v>
      </c>
      <c r="DB3">
        <f t="shared" ca="1" si="4"/>
        <v>66.644143183513279</v>
      </c>
    </row>
    <row r="4" spans="1:106" x14ac:dyDescent="0.2">
      <c r="A4" s="49">
        <v>44469</v>
      </c>
      <c r="B4" s="45">
        <v>30.150277835827698</v>
      </c>
      <c r="C4">
        <f t="shared" si="2"/>
        <v>1.3115805534396551E-3</v>
      </c>
      <c r="F4">
        <v>2</v>
      </c>
      <c r="G4">
        <f t="shared" ref="G4:G14" ca="1" si="5">G3 * EXP($B$51 - 0.5 * $B$52^2 + $B$52 * _xlfn.NORM.S.INV(RAND()))</f>
        <v>61.04749876947605</v>
      </c>
      <c r="H4">
        <f t="shared" ca="1" si="3"/>
        <v>67.103955184224489</v>
      </c>
      <c r="I4">
        <f t="shared" ca="1" si="3"/>
        <v>66.002887105740101</v>
      </c>
      <c r="J4">
        <f t="shared" ca="1" si="3"/>
        <v>66.799239259174257</v>
      </c>
      <c r="K4">
        <f t="shared" ca="1" si="3"/>
        <v>62.085925319598509</v>
      </c>
      <c r="L4">
        <f t="shared" ca="1" si="3"/>
        <v>65.061169455333982</v>
      </c>
      <c r="M4">
        <f t="shared" ca="1" si="3"/>
        <v>63.332361517192211</v>
      </c>
      <c r="N4">
        <f t="shared" ca="1" si="3"/>
        <v>61.27053573453798</v>
      </c>
      <c r="O4">
        <f t="shared" ca="1" si="3"/>
        <v>63.372458495860968</v>
      </c>
      <c r="P4">
        <f t="shared" ca="1" si="3"/>
        <v>62.006479363375163</v>
      </c>
      <c r="Q4">
        <f t="shared" ca="1" si="3"/>
        <v>57.801286038116075</v>
      </c>
      <c r="R4">
        <f t="shared" ca="1" si="3"/>
        <v>64.05829189976879</v>
      </c>
      <c r="S4">
        <f t="shared" ca="1" si="3"/>
        <v>62.22173102804858</v>
      </c>
      <c r="T4">
        <f t="shared" ca="1" si="3"/>
        <v>65.195859394301422</v>
      </c>
      <c r="U4">
        <f t="shared" ca="1" si="3"/>
        <v>59.020813938982272</v>
      </c>
      <c r="V4">
        <f t="shared" ca="1" si="3"/>
        <v>62.189675470955336</v>
      </c>
      <c r="W4">
        <f t="shared" ca="1" si="3"/>
        <v>61.993350875094869</v>
      </c>
      <c r="X4">
        <f t="shared" ca="1" si="3"/>
        <v>66.217083888405313</v>
      </c>
      <c r="Y4">
        <f t="shared" ca="1" si="3"/>
        <v>58.970966269293569</v>
      </c>
      <c r="Z4">
        <f t="shared" ca="1" si="3"/>
        <v>64.574624811961982</v>
      </c>
      <c r="AA4">
        <f t="shared" ca="1" si="3"/>
        <v>62.083694196327151</v>
      </c>
      <c r="AB4">
        <f t="shared" ca="1" si="3"/>
        <v>60.740268547224041</v>
      </c>
      <c r="AC4">
        <f t="shared" ca="1" si="3"/>
        <v>62.29974858549744</v>
      </c>
      <c r="AD4">
        <f t="shared" ca="1" si="3"/>
        <v>64.572786747766983</v>
      </c>
      <c r="AE4">
        <f t="shared" ca="1" si="3"/>
        <v>64.876423278672007</v>
      </c>
      <c r="AF4">
        <f t="shared" ca="1" si="3"/>
        <v>65.841163789600543</v>
      </c>
      <c r="AG4">
        <f t="shared" ca="1" si="3"/>
        <v>64.879590778518605</v>
      </c>
      <c r="AH4">
        <f t="shared" ca="1" si="3"/>
        <v>62.390892805172257</v>
      </c>
      <c r="AI4">
        <f t="shared" ca="1" si="3"/>
        <v>64.804751132660485</v>
      </c>
      <c r="AJ4">
        <f t="shared" ca="1" si="3"/>
        <v>61.021473191801107</v>
      </c>
      <c r="AK4">
        <f t="shared" ca="1" si="3"/>
        <v>65.815940879300129</v>
      </c>
      <c r="AL4">
        <f t="shared" ca="1" si="3"/>
        <v>59.536138786594734</v>
      </c>
      <c r="AM4">
        <f t="shared" ca="1" si="3"/>
        <v>65.452469919127694</v>
      </c>
      <c r="AN4">
        <f t="shared" ca="1" si="3"/>
        <v>65.617466824786788</v>
      </c>
      <c r="AO4">
        <f t="shared" ca="1" si="3"/>
        <v>69.314727639809718</v>
      </c>
      <c r="AP4">
        <f t="shared" ca="1" si="3"/>
        <v>70.462505617222703</v>
      </c>
      <c r="AQ4">
        <f t="shared" ca="1" si="3"/>
        <v>61.895614633029204</v>
      </c>
      <c r="AR4">
        <f t="shared" ca="1" si="3"/>
        <v>65.027783373617311</v>
      </c>
      <c r="AS4">
        <f t="shared" ca="1" si="3"/>
        <v>60.376317157603637</v>
      </c>
      <c r="AT4">
        <f t="shared" ca="1" si="3"/>
        <v>59.419290158573155</v>
      </c>
      <c r="AU4">
        <f t="shared" ca="1" si="3"/>
        <v>62.614134393205845</v>
      </c>
      <c r="AV4">
        <f t="shared" ca="1" si="3"/>
        <v>64.521106295005382</v>
      </c>
      <c r="AW4">
        <f t="shared" ca="1" si="3"/>
        <v>61.875043275468514</v>
      </c>
      <c r="AX4">
        <f t="shared" ca="1" si="3"/>
        <v>66.602749423220601</v>
      </c>
      <c r="AY4">
        <f t="shared" ca="1" si="3"/>
        <v>62.571972841567572</v>
      </c>
      <c r="AZ4">
        <f t="shared" ca="1" si="3"/>
        <v>63.087844293288924</v>
      </c>
      <c r="BA4">
        <f t="shared" ca="1" si="3"/>
        <v>60.765414279180114</v>
      </c>
      <c r="BB4">
        <f t="shared" ca="1" si="3"/>
        <v>61.465086989514887</v>
      </c>
      <c r="BC4">
        <f t="shared" ca="1" si="3"/>
        <v>60.99787282215712</v>
      </c>
      <c r="BD4">
        <f t="shared" ca="1" si="3"/>
        <v>61.02622596637547</v>
      </c>
      <c r="BE4">
        <f t="shared" ca="1" si="3"/>
        <v>59.563253489418244</v>
      </c>
      <c r="BF4">
        <f t="shared" ca="1" si="3"/>
        <v>62.573862925509445</v>
      </c>
      <c r="BG4">
        <f t="shared" ca="1" si="3"/>
        <v>64.337705416171033</v>
      </c>
      <c r="BH4">
        <f t="shared" ca="1" si="3"/>
        <v>65.969520144848957</v>
      </c>
      <c r="BI4">
        <f t="shared" ca="1" si="3"/>
        <v>61.550076028466108</v>
      </c>
      <c r="BJ4">
        <f t="shared" ca="1" si="3"/>
        <v>62.664561184846811</v>
      </c>
      <c r="BK4">
        <f t="shared" ca="1" si="3"/>
        <v>64.586397946070932</v>
      </c>
      <c r="BL4">
        <f t="shared" ca="1" si="3"/>
        <v>66.126279391610623</v>
      </c>
      <c r="BM4">
        <f t="shared" ca="1" si="3"/>
        <v>61.588353039222405</v>
      </c>
      <c r="BN4">
        <f t="shared" ca="1" si="3"/>
        <v>62.403677767631912</v>
      </c>
      <c r="BO4">
        <f t="shared" ca="1" si="3"/>
        <v>61.076716322702595</v>
      </c>
      <c r="BP4">
        <f t="shared" ca="1" si="3"/>
        <v>64.900255095897109</v>
      </c>
      <c r="BQ4">
        <f t="shared" ca="1" si="3"/>
        <v>59.368216117987942</v>
      </c>
      <c r="BR4">
        <f t="shared" ca="1" si="3"/>
        <v>63.622512600961969</v>
      </c>
      <c r="BS4">
        <f t="shared" ca="1" si="3"/>
        <v>63.978956772954525</v>
      </c>
      <c r="BT4">
        <f t="shared" ca="1" si="4"/>
        <v>64.071152152424773</v>
      </c>
      <c r="BU4">
        <f t="shared" ca="1" si="4"/>
        <v>57.753304159029163</v>
      </c>
      <c r="BV4">
        <f t="shared" ca="1" si="4"/>
        <v>61.343979014124223</v>
      </c>
      <c r="BW4">
        <f t="shared" ca="1" si="4"/>
        <v>60.626861412835076</v>
      </c>
      <c r="BX4">
        <f t="shared" ca="1" si="4"/>
        <v>60.125092281697327</v>
      </c>
      <c r="BY4">
        <f t="shared" ca="1" si="4"/>
        <v>64.603902328156167</v>
      </c>
      <c r="BZ4">
        <f t="shared" ca="1" si="4"/>
        <v>63.938078871614039</v>
      </c>
      <c r="CA4">
        <f t="shared" ca="1" si="4"/>
        <v>68.240611712119886</v>
      </c>
      <c r="CB4">
        <f t="shared" ca="1" si="4"/>
        <v>68.019364098723472</v>
      </c>
      <c r="CC4">
        <f t="shared" ca="1" si="4"/>
        <v>60.810385467178868</v>
      </c>
      <c r="CD4">
        <f t="shared" ca="1" si="4"/>
        <v>59.816240786289171</v>
      </c>
      <c r="CE4">
        <f t="shared" ca="1" si="4"/>
        <v>61.909701529836475</v>
      </c>
      <c r="CF4">
        <f t="shared" ca="1" si="4"/>
        <v>65.696150576479198</v>
      </c>
      <c r="CG4">
        <f t="shared" ca="1" si="4"/>
        <v>61.788329248697714</v>
      </c>
      <c r="CH4">
        <f t="shared" ca="1" si="4"/>
        <v>63.009198863997327</v>
      </c>
      <c r="CI4">
        <f t="shared" ca="1" si="4"/>
        <v>59.791671369423682</v>
      </c>
      <c r="CJ4">
        <f t="shared" ca="1" si="4"/>
        <v>61.323709079818947</v>
      </c>
      <c r="CK4">
        <f t="shared" ca="1" si="4"/>
        <v>63.63784775641539</v>
      </c>
      <c r="CL4">
        <f t="shared" ca="1" si="4"/>
        <v>70.620577558054251</v>
      </c>
      <c r="CM4">
        <f t="shared" ca="1" si="4"/>
        <v>63.353297506104653</v>
      </c>
      <c r="CN4">
        <f t="shared" ca="1" si="4"/>
        <v>64.01378012473954</v>
      </c>
      <c r="CO4">
        <f t="shared" ca="1" si="4"/>
        <v>64.128252333462214</v>
      </c>
      <c r="CP4">
        <f t="shared" ca="1" si="4"/>
        <v>62.705748783158697</v>
      </c>
      <c r="CQ4">
        <f t="shared" ca="1" si="4"/>
        <v>60.184221180538685</v>
      </c>
      <c r="CR4">
        <f t="shared" ca="1" si="4"/>
        <v>57.680797564829412</v>
      </c>
      <c r="CS4">
        <f t="shared" ca="1" si="4"/>
        <v>58.436587959036238</v>
      </c>
      <c r="CT4">
        <f t="shared" ca="1" si="4"/>
        <v>62.477514951145274</v>
      </c>
      <c r="CU4">
        <f t="shared" ca="1" si="4"/>
        <v>68.989431023935424</v>
      </c>
      <c r="CV4">
        <f t="shared" ca="1" si="4"/>
        <v>61.98686782118547</v>
      </c>
      <c r="CW4">
        <f t="shared" ca="1" si="4"/>
        <v>60.963808848142975</v>
      </c>
      <c r="CX4">
        <f t="shared" ca="1" si="4"/>
        <v>60.653855032120283</v>
      </c>
      <c r="CY4">
        <f t="shared" ca="1" si="4"/>
        <v>65.441169226045574</v>
      </c>
      <c r="CZ4">
        <f t="shared" ca="1" si="4"/>
        <v>64.435119374204362</v>
      </c>
      <c r="DA4">
        <f t="shared" ca="1" si="4"/>
        <v>66.408940774844638</v>
      </c>
      <c r="DB4">
        <f t="shared" ca="1" si="4"/>
        <v>68.768980120261034</v>
      </c>
    </row>
    <row r="5" spans="1:106" x14ac:dyDescent="0.2">
      <c r="A5" s="49">
        <v>44498</v>
      </c>
      <c r="B5" s="45">
        <v>29.607466469475572</v>
      </c>
      <c r="C5">
        <f t="shared" si="2"/>
        <v>-1.8167563137563118E-2</v>
      </c>
      <c r="F5">
        <v>3</v>
      </c>
      <c r="G5">
        <f t="shared" ca="1" si="5"/>
        <v>59.830923488385828</v>
      </c>
      <c r="H5">
        <f t="shared" ca="1" si="3"/>
        <v>64.891569409854498</v>
      </c>
      <c r="I5">
        <f t="shared" ca="1" si="3"/>
        <v>65.660779460889131</v>
      </c>
      <c r="J5">
        <f t="shared" ca="1" si="3"/>
        <v>67.604611476481153</v>
      </c>
      <c r="K5">
        <f t="shared" ca="1" si="3"/>
        <v>64.32488338958305</v>
      </c>
      <c r="L5">
        <f t="shared" ca="1" si="3"/>
        <v>67.56519958587441</v>
      </c>
      <c r="M5">
        <f t="shared" ca="1" si="3"/>
        <v>63.701699260636872</v>
      </c>
      <c r="N5">
        <f t="shared" ca="1" si="3"/>
        <v>63.782680667701229</v>
      </c>
      <c r="O5">
        <f t="shared" ca="1" si="3"/>
        <v>60.941719998817746</v>
      </c>
      <c r="P5">
        <f t="shared" ca="1" si="3"/>
        <v>66.544010480973455</v>
      </c>
      <c r="Q5">
        <f t="shared" ca="1" si="3"/>
        <v>58.2393759188896</v>
      </c>
      <c r="R5">
        <f t="shared" ca="1" si="3"/>
        <v>66.067420729759405</v>
      </c>
      <c r="S5">
        <f t="shared" ca="1" si="3"/>
        <v>61.876292625973285</v>
      </c>
      <c r="T5">
        <f t="shared" ca="1" si="3"/>
        <v>67.031124336795017</v>
      </c>
      <c r="U5">
        <f t="shared" ca="1" si="3"/>
        <v>59.345959447307244</v>
      </c>
      <c r="V5">
        <f t="shared" ca="1" si="3"/>
        <v>64.136107069168006</v>
      </c>
      <c r="W5">
        <f t="shared" ca="1" si="3"/>
        <v>64.319055672743161</v>
      </c>
      <c r="X5">
        <f t="shared" ca="1" si="3"/>
        <v>66.480111766607195</v>
      </c>
      <c r="Y5">
        <f t="shared" ca="1" si="3"/>
        <v>59.928154669758257</v>
      </c>
      <c r="Z5">
        <f t="shared" ca="1" si="3"/>
        <v>62.989369991783533</v>
      </c>
      <c r="AA5">
        <f t="shared" ca="1" si="3"/>
        <v>62.772588615224066</v>
      </c>
      <c r="AB5">
        <f t="shared" ca="1" si="3"/>
        <v>61.024713661361972</v>
      </c>
      <c r="AC5">
        <f t="shared" ca="1" si="3"/>
        <v>61.569641839973521</v>
      </c>
      <c r="AD5">
        <f t="shared" ca="1" si="3"/>
        <v>61.915487380444731</v>
      </c>
      <c r="AE5">
        <f t="shared" ca="1" si="3"/>
        <v>65.289352895063217</v>
      </c>
      <c r="AF5">
        <f t="shared" ca="1" si="3"/>
        <v>65.379191084996847</v>
      </c>
      <c r="AG5">
        <f t="shared" ca="1" si="3"/>
        <v>66.059071578843117</v>
      </c>
      <c r="AH5">
        <f t="shared" ca="1" si="3"/>
        <v>63.663446634828887</v>
      </c>
      <c r="AI5">
        <f t="shared" ca="1" si="3"/>
        <v>65.196785376068348</v>
      </c>
      <c r="AJ5">
        <f t="shared" ca="1" si="3"/>
        <v>63.393596958417881</v>
      </c>
      <c r="AK5">
        <f t="shared" ca="1" si="3"/>
        <v>66.617267842079272</v>
      </c>
      <c r="AL5">
        <f t="shared" ca="1" si="3"/>
        <v>58.782268173147763</v>
      </c>
      <c r="AM5">
        <f t="shared" ca="1" si="3"/>
        <v>66.872285991312395</v>
      </c>
      <c r="AN5">
        <f t="shared" ca="1" si="3"/>
        <v>65.421949399636759</v>
      </c>
      <c r="AO5">
        <f t="shared" ca="1" si="3"/>
        <v>70.889134698595058</v>
      </c>
      <c r="AP5">
        <f t="shared" ca="1" si="3"/>
        <v>71.455464258281992</v>
      </c>
      <c r="AQ5">
        <f t="shared" ca="1" si="3"/>
        <v>60.291188668441691</v>
      </c>
      <c r="AR5">
        <f t="shared" ca="1" si="3"/>
        <v>65.690380416177632</v>
      </c>
      <c r="AS5">
        <f t="shared" ca="1" si="3"/>
        <v>59.94680056945009</v>
      </c>
      <c r="AT5">
        <f t="shared" ca="1" si="3"/>
        <v>59.421680486355967</v>
      </c>
      <c r="AU5">
        <f t="shared" ca="1" si="3"/>
        <v>63.074035672290421</v>
      </c>
      <c r="AV5">
        <f t="shared" ca="1" si="3"/>
        <v>64.626701104709454</v>
      </c>
      <c r="AW5">
        <f t="shared" ca="1" si="3"/>
        <v>64.698306174717203</v>
      </c>
      <c r="AX5">
        <f t="shared" ca="1" si="3"/>
        <v>70.406277232751791</v>
      </c>
      <c r="AY5">
        <f t="shared" ca="1" si="3"/>
        <v>62.659870195409958</v>
      </c>
      <c r="AZ5">
        <f t="shared" ca="1" si="3"/>
        <v>64.638112085315825</v>
      </c>
      <c r="BA5">
        <f t="shared" ca="1" si="3"/>
        <v>61.918215397794853</v>
      </c>
      <c r="BB5">
        <f t="shared" ca="1" si="3"/>
        <v>64.117858124621904</v>
      </c>
      <c r="BC5">
        <f t="shared" ca="1" si="3"/>
        <v>62.146040960511073</v>
      </c>
      <c r="BD5">
        <f t="shared" ca="1" si="3"/>
        <v>62.396859241146721</v>
      </c>
      <c r="BE5">
        <f t="shared" ca="1" si="3"/>
        <v>59.354035076528184</v>
      </c>
      <c r="BF5">
        <f t="shared" ca="1" si="3"/>
        <v>64.081983219941705</v>
      </c>
      <c r="BG5">
        <f t="shared" ca="1" si="3"/>
        <v>68.886321588186803</v>
      </c>
      <c r="BH5">
        <f t="shared" ca="1" si="3"/>
        <v>65.052917765568253</v>
      </c>
      <c r="BI5">
        <f t="shared" ca="1" si="3"/>
        <v>61.492473311852351</v>
      </c>
      <c r="BJ5">
        <f t="shared" ca="1" si="3"/>
        <v>64.768458857312794</v>
      </c>
      <c r="BK5">
        <f t="shared" ca="1" si="3"/>
        <v>66.97483138277282</v>
      </c>
      <c r="BL5">
        <f t="shared" ca="1" si="3"/>
        <v>68.601171318247836</v>
      </c>
      <c r="BM5">
        <f t="shared" ca="1" si="3"/>
        <v>62.87554270782325</v>
      </c>
      <c r="BN5">
        <f t="shared" ca="1" si="3"/>
        <v>64.468748153912713</v>
      </c>
      <c r="BO5">
        <f t="shared" ca="1" si="3"/>
        <v>61.285825570141711</v>
      </c>
      <c r="BP5">
        <f t="shared" ca="1" si="3"/>
        <v>65.433620164507417</v>
      </c>
      <c r="BQ5">
        <f t="shared" ca="1" si="3"/>
        <v>56.81777509672213</v>
      </c>
      <c r="BR5">
        <f t="shared" ca="1" si="3"/>
        <v>66.263876653936165</v>
      </c>
      <c r="BS5">
        <f t="shared" ca="1" si="3"/>
        <v>61.280526214737385</v>
      </c>
      <c r="BT5">
        <f t="shared" ca="1" si="4"/>
        <v>63.863755163986376</v>
      </c>
      <c r="BU5">
        <f t="shared" ca="1" si="4"/>
        <v>58.83404527608478</v>
      </c>
      <c r="BV5">
        <f t="shared" ca="1" si="4"/>
        <v>65.088606701082185</v>
      </c>
      <c r="BW5">
        <f t="shared" ca="1" si="4"/>
        <v>64.151103846424817</v>
      </c>
      <c r="BX5">
        <f t="shared" ca="1" si="4"/>
        <v>62.704017221340706</v>
      </c>
      <c r="BY5">
        <f t="shared" ca="1" si="4"/>
        <v>65.489660846896044</v>
      </c>
      <c r="BZ5">
        <f t="shared" ca="1" si="4"/>
        <v>64.850321042471847</v>
      </c>
      <c r="CA5">
        <f t="shared" ca="1" si="4"/>
        <v>71.502109373913626</v>
      </c>
      <c r="CB5">
        <f t="shared" ca="1" si="4"/>
        <v>66.778447561469761</v>
      </c>
      <c r="CC5">
        <f t="shared" ca="1" si="4"/>
        <v>64.130404708272749</v>
      </c>
      <c r="CD5">
        <f t="shared" ca="1" si="4"/>
        <v>60.513721613606585</v>
      </c>
      <c r="CE5">
        <f t="shared" ca="1" si="4"/>
        <v>57.894525818354275</v>
      </c>
      <c r="CF5">
        <f t="shared" ca="1" si="4"/>
        <v>64.795120997258323</v>
      </c>
      <c r="CG5">
        <f t="shared" ca="1" si="4"/>
        <v>60.862892861334991</v>
      </c>
      <c r="CH5">
        <f t="shared" ca="1" si="4"/>
        <v>61.130738718326427</v>
      </c>
      <c r="CI5">
        <f t="shared" ca="1" si="4"/>
        <v>59.531374610991378</v>
      </c>
      <c r="CJ5">
        <f t="shared" ca="1" si="4"/>
        <v>63.451788749898128</v>
      </c>
      <c r="CK5">
        <f t="shared" ca="1" si="4"/>
        <v>61.241228482566989</v>
      </c>
      <c r="CL5">
        <f t="shared" ca="1" si="4"/>
        <v>66.017784095640096</v>
      </c>
      <c r="CM5">
        <f t="shared" ca="1" si="4"/>
        <v>64.282946841709048</v>
      </c>
      <c r="CN5">
        <f t="shared" ca="1" si="4"/>
        <v>62.114286032972799</v>
      </c>
      <c r="CO5">
        <f t="shared" ca="1" si="4"/>
        <v>66.549610697950541</v>
      </c>
      <c r="CP5">
        <f t="shared" ca="1" si="4"/>
        <v>64.512065920303399</v>
      </c>
      <c r="CQ5">
        <f t="shared" ca="1" si="4"/>
        <v>60.887710989024306</v>
      </c>
      <c r="CR5">
        <f t="shared" ca="1" si="4"/>
        <v>57.51764916753347</v>
      </c>
      <c r="CS5">
        <f t="shared" ca="1" si="4"/>
        <v>57.743162893231791</v>
      </c>
      <c r="CT5">
        <f t="shared" ca="1" si="4"/>
        <v>63.431289846203327</v>
      </c>
      <c r="CU5">
        <f t="shared" ca="1" si="4"/>
        <v>73.578371155903994</v>
      </c>
      <c r="CV5">
        <f t="shared" ca="1" si="4"/>
        <v>59.345807294472714</v>
      </c>
      <c r="CW5">
        <f t="shared" ca="1" si="4"/>
        <v>60.391194618357972</v>
      </c>
      <c r="CX5">
        <f t="shared" ca="1" si="4"/>
        <v>61.692057103660645</v>
      </c>
      <c r="CY5">
        <f t="shared" ca="1" si="4"/>
        <v>64.814001919831611</v>
      </c>
      <c r="CZ5">
        <f t="shared" ca="1" si="4"/>
        <v>65.391181869959937</v>
      </c>
      <c r="DA5">
        <f t="shared" ca="1" si="4"/>
        <v>66.985051424371179</v>
      </c>
      <c r="DB5">
        <f t="shared" ca="1" si="4"/>
        <v>69.858700210852504</v>
      </c>
    </row>
    <row r="6" spans="1:106" x14ac:dyDescent="0.2">
      <c r="A6" s="49">
        <v>44530</v>
      </c>
      <c r="B6" s="45">
        <v>30.659063020774724</v>
      </c>
      <c r="C6">
        <f t="shared" si="2"/>
        <v>3.4901737550920665E-2</v>
      </c>
      <c r="F6">
        <v>4</v>
      </c>
      <c r="G6">
        <f t="shared" ca="1" si="5"/>
        <v>64.290981746333216</v>
      </c>
      <c r="H6">
        <f t="shared" ca="1" si="3"/>
        <v>70.264041980487036</v>
      </c>
      <c r="I6">
        <f t="shared" ca="1" si="3"/>
        <v>67.82112717144426</v>
      </c>
      <c r="J6">
        <f t="shared" ca="1" si="3"/>
        <v>67.333968331020813</v>
      </c>
      <c r="K6">
        <f t="shared" ca="1" si="3"/>
        <v>60.807305930509877</v>
      </c>
      <c r="L6">
        <f t="shared" ca="1" si="3"/>
        <v>66.437404386495061</v>
      </c>
      <c r="M6">
        <f t="shared" ca="1" si="3"/>
        <v>63.940376279699954</v>
      </c>
      <c r="N6">
        <f t="shared" ca="1" si="3"/>
        <v>69.606989277130566</v>
      </c>
      <c r="O6">
        <f t="shared" ca="1" si="3"/>
        <v>63.341977477646189</v>
      </c>
      <c r="P6">
        <f t="shared" ca="1" si="3"/>
        <v>68.184062979606239</v>
      </c>
      <c r="Q6">
        <f t="shared" ca="1" si="3"/>
        <v>60.803359294399485</v>
      </c>
      <c r="R6">
        <f t="shared" ca="1" si="3"/>
        <v>65.801783217652101</v>
      </c>
      <c r="S6">
        <f t="shared" ca="1" si="3"/>
        <v>62.323271872833892</v>
      </c>
      <c r="T6">
        <f t="shared" ca="1" si="3"/>
        <v>68.274940639900265</v>
      </c>
      <c r="U6">
        <f t="shared" ca="1" si="3"/>
        <v>59.776126117008964</v>
      </c>
      <c r="V6">
        <f t="shared" ca="1" si="3"/>
        <v>64.515811925529619</v>
      </c>
      <c r="W6">
        <f t="shared" ca="1" si="3"/>
        <v>66.315814035388115</v>
      </c>
      <c r="X6">
        <f t="shared" ca="1" si="3"/>
        <v>68.865753300572763</v>
      </c>
      <c r="Y6">
        <f t="shared" ca="1" si="3"/>
        <v>62.238010982300857</v>
      </c>
      <c r="Z6">
        <f t="shared" ca="1" si="3"/>
        <v>64.600275562242061</v>
      </c>
      <c r="AA6">
        <f t="shared" ca="1" si="3"/>
        <v>60.930732610574637</v>
      </c>
      <c r="AB6">
        <f t="shared" ca="1" si="3"/>
        <v>62.295309927719366</v>
      </c>
      <c r="AC6">
        <f t="shared" ca="1" si="3"/>
        <v>61.274024933482096</v>
      </c>
      <c r="AD6">
        <f t="shared" ca="1" si="3"/>
        <v>61.658143934377804</v>
      </c>
      <c r="AE6">
        <f t="shared" ca="1" si="3"/>
        <v>66.798650187298691</v>
      </c>
      <c r="AF6">
        <f t="shared" ca="1" si="3"/>
        <v>64.105507537502888</v>
      </c>
      <c r="AG6">
        <f t="shared" ca="1" si="3"/>
        <v>69.6438246743148</v>
      </c>
      <c r="AH6">
        <f t="shared" ca="1" si="3"/>
        <v>61.981778519820374</v>
      </c>
      <c r="AI6">
        <f t="shared" ca="1" si="3"/>
        <v>68.531482495862576</v>
      </c>
      <c r="AJ6">
        <f t="shared" ca="1" si="3"/>
        <v>63.505823902113093</v>
      </c>
      <c r="AK6">
        <f t="shared" ca="1" si="3"/>
        <v>67.359339376118285</v>
      </c>
      <c r="AL6">
        <f t="shared" ca="1" si="3"/>
        <v>60.469473835457137</v>
      </c>
      <c r="AM6">
        <f t="shared" ca="1" si="3"/>
        <v>70.660240889019178</v>
      </c>
      <c r="AN6">
        <f t="shared" ca="1" si="3"/>
        <v>70.324424304345825</v>
      </c>
      <c r="AO6">
        <f t="shared" ca="1" si="3"/>
        <v>71.503761569422139</v>
      </c>
      <c r="AP6">
        <f t="shared" ca="1" si="3"/>
        <v>70.430253419211894</v>
      </c>
      <c r="AQ6">
        <f t="shared" ca="1" si="3"/>
        <v>63.492574385555812</v>
      </c>
      <c r="AR6">
        <f t="shared" ca="1" si="3"/>
        <v>66.097250323146838</v>
      </c>
      <c r="AS6">
        <f t="shared" ca="1" si="3"/>
        <v>62.462010091766544</v>
      </c>
      <c r="AT6">
        <f t="shared" ca="1" si="3"/>
        <v>60.612550720473088</v>
      </c>
      <c r="AU6">
        <f t="shared" ca="1" si="3"/>
        <v>62.928467298001472</v>
      </c>
      <c r="AV6">
        <f t="shared" ca="1" si="3"/>
        <v>66.797813424459619</v>
      </c>
      <c r="AW6">
        <f t="shared" ca="1" si="3"/>
        <v>61.57742664466322</v>
      </c>
      <c r="AX6">
        <f t="shared" ca="1" si="3"/>
        <v>73.202211176710591</v>
      </c>
      <c r="AY6">
        <f t="shared" ca="1" si="3"/>
        <v>62.927520245878526</v>
      </c>
      <c r="AZ6">
        <f t="shared" ca="1" si="3"/>
        <v>64.790914459839129</v>
      </c>
      <c r="BA6">
        <f t="shared" ca="1" si="3"/>
        <v>65.844715036909292</v>
      </c>
      <c r="BB6">
        <f t="shared" ca="1" si="3"/>
        <v>62.919693242247718</v>
      </c>
      <c r="BC6">
        <f t="shared" ca="1" si="3"/>
        <v>62.876552154150588</v>
      </c>
      <c r="BD6">
        <f t="shared" ca="1" si="3"/>
        <v>65.60464881709774</v>
      </c>
      <c r="BE6">
        <f t="shared" ca="1" si="3"/>
        <v>59.733892530648291</v>
      </c>
      <c r="BF6">
        <f t="shared" ca="1" si="3"/>
        <v>61.850063134915281</v>
      </c>
      <c r="BG6">
        <f t="shared" ca="1" si="3"/>
        <v>69.62903067725604</v>
      </c>
      <c r="BH6">
        <f t="shared" ca="1" si="3"/>
        <v>65.960850684788667</v>
      </c>
      <c r="BI6">
        <f t="shared" ca="1" si="3"/>
        <v>60.548328000373772</v>
      </c>
      <c r="BJ6">
        <f t="shared" ca="1" si="3"/>
        <v>67.215149266176311</v>
      </c>
      <c r="BK6">
        <f t="shared" ca="1" si="3"/>
        <v>65.417920584483952</v>
      </c>
      <c r="BL6">
        <f t="shared" ca="1" si="3"/>
        <v>75.079455502256721</v>
      </c>
      <c r="BM6">
        <f t="shared" ca="1" si="3"/>
        <v>61.411397490063905</v>
      </c>
      <c r="BN6">
        <f t="shared" ca="1" si="3"/>
        <v>62.739885674708162</v>
      </c>
      <c r="BO6">
        <f t="shared" ca="1" si="3"/>
        <v>60.50900808480408</v>
      </c>
      <c r="BP6">
        <f t="shared" ca="1" si="3"/>
        <v>62.681684522503723</v>
      </c>
      <c r="BQ6">
        <f t="shared" ca="1" si="3"/>
        <v>59.381131150166368</v>
      </c>
      <c r="BR6">
        <f t="shared" ca="1" si="3"/>
        <v>67.460092962123255</v>
      </c>
      <c r="BS6">
        <f t="shared" ref="BS6:BS14" ca="1" si="6">BS5 * EXP($B$51 - 0.5 * $B$52^2 + $B$52 * _xlfn.NORM.S.INV(RAND()))</f>
        <v>64.865168027296804</v>
      </c>
      <c r="BT6">
        <f t="shared" ca="1" si="4"/>
        <v>64.65037012254929</v>
      </c>
      <c r="BU6">
        <f t="shared" ca="1" si="4"/>
        <v>60.65902550101984</v>
      </c>
      <c r="BV6">
        <f t="shared" ca="1" si="4"/>
        <v>64.787846864621159</v>
      </c>
      <c r="BW6">
        <f t="shared" ca="1" si="4"/>
        <v>63.142282620768334</v>
      </c>
      <c r="BX6">
        <f t="shared" ca="1" si="4"/>
        <v>61.11031612449397</v>
      </c>
      <c r="BY6">
        <f t="shared" ca="1" si="4"/>
        <v>70.536586043996962</v>
      </c>
      <c r="BZ6">
        <f t="shared" ca="1" si="4"/>
        <v>64.536658577068323</v>
      </c>
      <c r="CA6">
        <f t="shared" ca="1" si="4"/>
        <v>71.767499714427132</v>
      </c>
      <c r="CB6">
        <f t="shared" ca="1" si="4"/>
        <v>70.456207147483568</v>
      </c>
      <c r="CC6">
        <f t="shared" ca="1" si="4"/>
        <v>66.281806927668839</v>
      </c>
      <c r="CD6">
        <f t="shared" ca="1" si="4"/>
        <v>59.670741727619209</v>
      </c>
      <c r="CE6">
        <f t="shared" ca="1" si="4"/>
        <v>58.768081157123319</v>
      </c>
      <c r="CF6">
        <f t="shared" ca="1" si="4"/>
        <v>68.591535608287558</v>
      </c>
      <c r="CG6">
        <f t="shared" ca="1" si="4"/>
        <v>60.983711215253329</v>
      </c>
      <c r="CH6">
        <f t="shared" ca="1" si="4"/>
        <v>66.617935675315735</v>
      </c>
      <c r="CI6">
        <f t="shared" ca="1" si="4"/>
        <v>58.477303342933318</v>
      </c>
      <c r="CJ6">
        <f t="shared" ca="1" si="4"/>
        <v>62.423412626094922</v>
      </c>
      <c r="CK6">
        <f t="shared" ca="1" si="4"/>
        <v>59.746545439983031</v>
      </c>
      <c r="CL6">
        <f t="shared" ca="1" si="4"/>
        <v>65.969331659853808</v>
      </c>
      <c r="CM6">
        <f t="shared" ca="1" si="4"/>
        <v>64.706526063824782</v>
      </c>
      <c r="CN6">
        <f t="shared" ca="1" si="4"/>
        <v>64.495539821381598</v>
      </c>
      <c r="CO6">
        <f t="shared" ca="1" si="4"/>
        <v>64.952843504695366</v>
      </c>
      <c r="CP6">
        <f t="shared" ca="1" si="4"/>
        <v>64.697827786884716</v>
      </c>
      <c r="CQ6">
        <f t="shared" ca="1" si="4"/>
        <v>62.767306683312356</v>
      </c>
      <c r="CR6">
        <f t="shared" ca="1" si="4"/>
        <v>59.072154352415453</v>
      </c>
      <c r="CS6">
        <f t="shared" ca="1" si="4"/>
        <v>59.356023841109199</v>
      </c>
      <c r="CT6">
        <f t="shared" ca="1" si="4"/>
        <v>64.433673623018507</v>
      </c>
      <c r="CU6">
        <f t="shared" ca="1" si="4"/>
        <v>73.068866429516902</v>
      </c>
      <c r="CV6">
        <f t="shared" ca="1" si="4"/>
        <v>60.719226238714576</v>
      </c>
      <c r="CW6">
        <f t="shared" ca="1" si="4"/>
        <v>61.722532473440737</v>
      </c>
      <c r="CX6">
        <f t="shared" ca="1" si="4"/>
        <v>65.534207714666692</v>
      </c>
      <c r="CY6">
        <f t="shared" ca="1" si="4"/>
        <v>62.938479785796844</v>
      </c>
      <c r="CZ6">
        <f t="shared" ca="1" si="4"/>
        <v>66.656518690582359</v>
      </c>
      <c r="DA6">
        <f t="shared" ca="1" si="4"/>
        <v>67.932651972591543</v>
      </c>
      <c r="DB6">
        <f t="shared" ca="1" si="4"/>
        <v>67.556778139315355</v>
      </c>
    </row>
    <row r="7" spans="1:106" x14ac:dyDescent="0.2">
      <c r="A7" s="49">
        <v>44561</v>
      </c>
      <c r="B7" s="45">
        <v>30.638165051092855</v>
      </c>
      <c r="C7">
        <f t="shared" si="2"/>
        <v>-6.818569501067925E-4</v>
      </c>
      <c r="F7">
        <v>5</v>
      </c>
      <c r="G7">
        <f t="shared" ca="1" si="5"/>
        <v>67.243757914374953</v>
      </c>
      <c r="H7">
        <f t="shared" ref="H7:H14" ca="1" si="7">H6 * EXP($B$51 - 0.5 * $B$52^2 + $B$52 * _xlfn.NORM.S.INV(RAND()))</f>
        <v>70.674973091966123</v>
      </c>
      <c r="I7">
        <f t="shared" ref="I7:I14" ca="1" si="8">I6 * EXP($B$51 - 0.5 * $B$52^2 + $B$52 * _xlfn.NORM.S.INV(RAND()))</f>
        <v>67.202348866245657</v>
      </c>
      <c r="J7">
        <f t="shared" ref="J7:J14" ca="1" si="9">J6 * EXP($B$51 - 0.5 * $B$52^2 + $B$52 * _xlfn.NORM.S.INV(RAND()))</f>
        <v>69.948639522103576</v>
      </c>
      <c r="K7">
        <f t="shared" ref="K7:K14" ca="1" si="10">K6 * EXP($B$51 - 0.5 * $B$52^2 + $B$52 * _xlfn.NORM.S.INV(RAND()))</f>
        <v>62.282117782105317</v>
      </c>
      <c r="L7">
        <f t="shared" ref="L7:L14" ca="1" si="11">L6 * EXP($B$51 - 0.5 * $B$52^2 + $B$52 * _xlfn.NORM.S.INV(RAND()))</f>
        <v>66.232541631550234</v>
      </c>
      <c r="M7">
        <f t="shared" ref="M7:M14" ca="1" si="12">M6 * EXP($B$51 - 0.5 * $B$52^2 + $B$52 * _xlfn.NORM.S.INV(RAND()))</f>
        <v>64.633898442173262</v>
      </c>
      <c r="N7">
        <f t="shared" ref="N7:N14" ca="1" si="13">N6 * EXP($B$51 - 0.5 * $B$52^2 + $B$52 * _xlfn.NORM.S.INV(RAND()))</f>
        <v>67.886972316118019</v>
      </c>
      <c r="O7">
        <f t="shared" ref="O7:O14" ca="1" si="14">O6 * EXP($B$51 - 0.5 * $B$52^2 + $B$52 * _xlfn.NORM.S.INV(RAND()))</f>
        <v>62.387879126658099</v>
      </c>
      <c r="P7">
        <f t="shared" ref="P7:P14" ca="1" si="15">P6 * EXP($B$51 - 0.5 * $B$52^2 + $B$52 * _xlfn.NORM.S.INV(RAND()))</f>
        <v>68.706170234736859</v>
      </c>
      <c r="Q7">
        <f t="shared" ref="Q7:Q14" ca="1" si="16">Q6 * EXP($B$51 - 0.5 * $B$52^2 + $B$52 * _xlfn.NORM.S.INV(RAND()))</f>
        <v>61.668703790991025</v>
      </c>
      <c r="R7">
        <f t="shared" ref="R7:R14" ca="1" si="17">R6 * EXP($B$51 - 0.5 * $B$52^2 + $B$52 * _xlfn.NORM.S.INV(RAND()))</f>
        <v>68.044670009837446</v>
      </c>
      <c r="S7">
        <f t="shared" ref="S7:S14" ca="1" si="18">S6 * EXP($B$51 - 0.5 * $B$52^2 + $B$52 * _xlfn.NORM.S.INV(RAND()))</f>
        <v>64.080943170746636</v>
      </c>
      <c r="T7">
        <f t="shared" ref="T7:T14" ca="1" si="19">T6 * EXP($B$51 - 0.5 * $B$52^2 + $B$52 * _xlfn.NORM.S.INV(RAND()))</f>
        <v>68.523705616557109</v>
      </c>
      <c r="U7">
        <f t="shared" ref="U7:U14" ca="1" si="20">U6 * EXP($B$51 - 0.5 * $B$52^2 + $B$52 * _xlfn.NORM.S.INV(RAND()))</f>
        <v>62.394060106822629</v>
      </c>
      <c r="V7">
        <f t="shared" ref="V7:V14" ca="1" si="21">V6 * EXP($B$51 - 0.5 * $B$52^2 + $B$52 * _xlfn.NORM.S.INV(RAND()))</f>
        <v>65.586664132039175</v>
      </c>
      <c r="W7">
        <f t="shared" ref="W7:W14" ca="1" si="22">W6 * EXP($B$51 - 0.5 * $B$52^2 + $B$52 * _xlfn.NORM.S.INV(RAND()))</f>
        <v>66.652341979367662</v>
      </c>
      <c r="X7">
        <f t="shared" ref="X7:X14" ca="1" si="23">X6 * EXP($B$51 - 0.5 * $B$52^2 + $B$52 * _xlfn.NORM.S.INV(RAND()))</f>
        <v>70.361421804457237</v>
      </c>
      <c r="Y7">
        <f t="shared" ref="Y7:Y14" ca="1" si="24">Y6 * EXP($B$51 - 0.5 * $B$52^2 + $B$52 * _xlfn.NORM.S.INV(RAND()))</f>
        <v>62.35129041315178</v>
      </c>
      <c r="Z7">
        <f t="shared" ref="Z7:Z14" ca="1" si="25">Z6 * EXP($B$51 - 0.5 * $B$52^2 + $B$52 * _xlfn.NORM.S.INV(RAND()))</f>
        <v>65.859270587595987</v>
      </c>
      <c r="AA7">
        <f t="shared" ref="AA7:AA14" ca="1" si="26">AA6 * EXP($B$51 - 0.5 * $B$52^2 + $B$52 * _xlfn.NORM.S.INV(RAND()))</f>
        <v>63.633846211847562</v>
      </c>
      <c r="AB7">
        <f t="shared" ref="AB7:AB14" ca="1" si="27">AB6 * EXP($B$51 - 0.5 * $B$52^2 + $B$52 * _xlfn.NORM.S.INV(RAND()))</f>
        <v>62.676657932817719</v>
      </c>
      <c r="AC7">
        <f t="shared" ref="AC7:AC14" ca="1" si="28">AC6 * EXP($B$51 - 0.5 * $B$52^2 + $B$52 * _xlfn.NORM.S.INV(RAND()))</f>
        <v>64.572520151197736</v>
      </c>
      <c r="AD7">
        <f t="shared" ref="AD7:AD14" ca="1" si="29">AD6 * EXP($B$51 - 0.5 * $B$52^2 + $B$52 * _xlfn.NORM.S.INV(RAND()))</f>
        <v>67.44432442501585</v>
      </c>
      <c r="AE7">
        <f t="shared" ref="AE7:AE14" ca="1" si="30">AE6 * EXP($B$51 - 0.5 * $B$52^2 + $B$52 * _xlfn.NORM.S.INV(RAND()))</f>
        <v>65.929433695615884</v>
      </c>
      <c r="AF7">
        <f t="shared" ref="AF7:AF14" ca="1" si="31">AF6 * EXP($B$51 - 0.5 * $B$52^2 + $B$52 * _xlfn.NORM.S.INV(RAND()))</f>
        <v>64.866417375889995</v>
      </c>
      <c r="AG7">
        <f t="shared" ref="AG7:AG14" ca="1" si="32">AG6 * EXP($B$51 - 0.5 * $B$52^2 + $B$52 * _xlfn.NORM.S.INV(RAND()))</f>
        <v>67.471849279441258</v>
      </c>
      <c r="AH7">
        <f t="shared" ref="AH7:AH14" ca="1" si="33">AH6 * EXP($B$51 - 0.5 * $B$52^2 + $B$52 * _xlfn.NORM.S.INV(RAND()))</f>
        <v>64.410592017260328</v>
      </c>
      <c r="AI7">
        <f t="shared" ref="AI7:AI14" ca="1" si="34">AI6 * EXP($B$51 - 0.5 * $B$52^2 + $B$52 * _xlfn.NORM.S.INV(RAND()))</f>
        <v>68.384659408141374</v>
      </c>
      <c r="AJ7">
        <f t="shared" ref="AJ7:AJ14" ca="1" si="35">AJ6 * EXP($B$51 - 0.5 * $B$52^2 + $B$52 * _xlfn.NORM.S.INV(RAND()))</f>
        <v>62.583474224448182</v>
      </c>
      <c r="AK7">
        <f t="shared" ref="AK7:AK14" ca="1" si="36">AK6 * EXP($B$51 - 0.5 * $B$52^2 + $B$52 * _xlfn.NORM.S.INV(RAND()))</f>
        <v>67.594197137665034</v>
      </c>
      <c r="AL7">
        <f t="shared" ref="AL7:AL14" ca="1" si="37">AL6 * EXP($B$51 - 0.5 * $B$52^2 + $B$52 * _xlfn.NORM.S.INV(RAND()))</f>
        <v>60.064889673151917</v>
      </c>
      <c r="AM7">
        <f t="shared" ref="AM7:AM14" ca="1" si="38">AM6 * EXP($B$51 - 0.5 * $B$52^2 + $B$52 * _xlfn.NORM.S.INV(RAND()))</f>
        <v>73.378317719910214</v>
      </c>
      <c r="AN7">
        <f t="shared" ref="AN7:AN14" ca="1" si="39">AN6 * EXP($B$51 - 0.5 * $B$52^2 + $B$52 * _xlfn.NORM.S.INV(RAND()))</f>
        <v>73.694109626472354</v>
      </c>
      <c r="AO7">
        <f t="shared" ref="AO7:AO14" ca="1" si="40">AO6 * EXP($B$51 - 0.5 * $B$52^2 + $B$52 * _xlfn.NORM.S.INV(RAND()))</f>
        <v>70.293636371542718</v>
      </c>
      <c r="AP7">
        <f t="shared" ref="AP7:AP14" ca="1" si="41">AP6 * EXP($B$51 - 0.5 * $B$52^2 + $B$52 * _xlfn.NORM.S.INV(RAND()))</f>
        <v>71.965834748346637</v>
      </c>
      <c r="AQ7">
        <f t="shared" ref="AQ7:AQ14" ca="1" si="42">AQ6 * EXP($B$51 - 0.5 * $B$52^2 + $B$52 * _xlfn.NORM.S.INV(RAND()))</f>
        <v>64.714411071581011</v>
      </c>
      <c r="AR7">
        <f t="shared" ref="AR7:AR14" ca="1" si="43">AR6 * EXP($B$51 - 0.5 * $B$52^2 + $B$52 * _xlfn.NORM.S.INV(RAND()))</f>
        <v>63.64270939856781</v>
      </c>
      <c r="AS7">
        <f t="shared" ref="AS7:AS14" ca="1" si="44">AS6 * EXP($B$51 - 0.5 * $B$52^2 + $B$52 * _xlfn.NORM.S.INV(RAND()))</f>
        <v>65.02952589999974</v>
      </c>
      <c r="AT7">
        <f t="shared" ref="AT7:AT14" ca="1" si="45">AT6 * EXP($B$51 - 0.5 * $B$52^2 + $B$52 * _xlfn.NORM.S.INV(RAND()))</f>
        <v>59.317121672453567</v>
      </c>
      <c r="AU7">
        <f t="shared" ref="AU7:AU14" ca="1" si="46">AU6 * EXP($B$51 - 0.5 * $B$52^2 + $B$52 * _xlfn.NORM.S.INV(RAND()))</f>
        <v>65.034983043607028</v>
      </c>
      <c r="AV7">
        <f t="shared" ref="AV7:AV14" ca="1" si="47">AV6 * EXP($B$51 - 0.5 * $B$52^2 + $B$52 * _xlfn.NORM.S.INV(RAND()))</f>
        <v>66.364307960640346</v>
      </c>
      <c r="AW7">
        <f t="shared" ref="AW7:AW14" ca="1" si="48">AW6 * EXP($B$51 - 0.5 * $B$52^2 + $B$52 * _xlfn.NORM.S.INV(RAND()))</f>
        <v>65.128412817471343</v>
      </c>
      <c r="AX7">
        <f t="shared" ref="AX7:AX14" ca="1" si="49">AX6 * EXP($B$51 - 0.5 * $B$52^2 + $B$52 * _xlfn.NORM.S.INV(RAND()))</f>
        <v>75.144222926157383</v>
      </c>
      <c r="AY7">
        <f t="shared" ref="AY7:AY14" ca="1" si="50">AY6 * EXP($B$51 - 0.5 * $B$52^2 + $B$52 * _xlfn.NORM.S.INV(RAND()))</f>
        <v>66.071550356466901</v>
      </c>
      <c r="AZ7">
        <f t="shared" ref="AZ7:AZ14" ca="1" si="51">AZ6 * EXP($B$51 - 0.5 * $B$52^2 + $B$52 * _xlfn.NORM.S.INV(RAND()))</f>
        <v>65.25849901813892</v>
      </c>
      <c r="BA7">
        <f t="shared" ref="BA7:BA14" ca="1" si="52">BA6 * EXP($B$51 - 0.5 * $B$52^2 + $B$52 * _xlfn.NORM.S.INV(RAND()))</f>
        <v>63.957133805846688</v>
      </c>
      <c r="BB7">
        <f t="shared" ref="BB7:BB14" ca="1" si="53">BB6 * EXP($B$51 - 0.5 * $B$52^2 + $B$52 * _xlfn.NORM.S.INV(RAND()))</f>
        <v>63.663885378667274</v>
      </c>
      <c r="BC7">
        <f t="shared" ref="BC7:BC14" ca="1" si="54">BC6 * EXP($B$51 - 0.5 * $B$52^2 + $B$52 * _xlfn.NORM.S.INV(RAND()))</f>
        <v>63.505135068179733</v>
      </c>
      <c r="BD7">
        <f t="shared" ref="BD7:BD14" ca="1" si="55">BD6 * EXP($B$51 - 0.5 * $B$52^2 + $B$52 * _xlfn.NORM.S.INV(RAND()))</f>
        <v>64.333361610878839</v>
      </c>
      <c r="BE7">
        <f t="shared" ref="BE7:BE14" ca="1" si="56">BE6 * EXP($B$51 - 0.5 * $B$52^2 + $B$52 * _xlfn.NORM.S.INV(RAND()))</f>
        <v>62.193338274483267</v>
      </c>
      <c r="BF7">
        <f t="shared" ref="BF7:BF14" ca="1" si="57">BF6 * EXP($B$51 - 0.5 * $B$52^2 + $B$52 * _xlfn.NORM.S.INV(RAND()))</f>
        <v>61.128056494737756</v>
      </c>
      <c r="BG7">
        <f t="shared" ref="BG7:BG14" ca="1" si="58">BG6 * EXP($B$51 - 0.5 * $B$52^2 + $B$52 * _xlfn.NORM.S.INV(RAND()))</f>
        <v>73.149416911328018</v>
      </c>
      <c r="BH7">
        <f t="shared" ref="BH7:BH14" ca="1" si="59">BH6 * EXP($B$51 - 0.5 * $B$52^2 + $B$52 * _xlfn.NORM.S.INV(RAND()))</f>
        <v>66.271363643512046</v>
      </c>
      <c r="BI7">
        <f t="shared" ref="BI7:BI14" ca="1" si="60">BI6 * EXP($B$51 - 0.5 * $B$52^2 + $B$52 * _xlfn.NORM.S.INV(RAND()))</f>
        <v>59.574619734044006</v>
      </c>
      <c r="BJ7">
        <f t="shared" ref="BJ7:BJ14" ca="1" si="61">BJ6 * EXP($B$51 - 0.5 * $B$52^2 + $B$52 * _xlfn.NORM.S.INV(RAND()))</f>
        <v>65.323496299458199</v>
      </c>
      <c r="BK7">
        <f t="shared" ref="BK7:BK14" ca="1" si="62">BK6 * EXP($B$51 - 0.5 * $B$52^2 + $B$52 * _xlfn.NORM.S.INV(RAND()))</f>
        <v>65.237309856495855</v>
      </c>
      <c r="BL7">
        <f t="shared" ref="BL7:BL14" ca="1" si="63">BL6 * EXP($B$51 - 0.5 * $B$52^2 + $B$52 * _xlfn.NORM.S.INV(RAND()))</f>
        <v>76.433256000960597</v>
      </c>
      <c r="BM7">
        <f t="shared" ref="BM7:BM14" ca="1" si="64">BM6 * EXP($B$51 - 0.5 * $B$52^2 + $B$52 * _xlfn.NORM.S.INV(RAND()))</f>
        <v>64.663263448297513</v>
      </c>
      <c r="BN7">
        <f t="shared" ref="BN7:BN14" ca="1" si="65">BN6 * EXP($B$51 - 0.5 * $B$52^2 + $B$52 * _xlfn.NORM.S.INV(RAND()))</f>
        <v>64.75318882572391</v>
      </c>
      <c r="BO7">
        <f t="shared" ref="BO7:BO14" ca="1" si="66">BO6 * EXP($B$51 - 0.5 * $B$52^2 + $B$52 * _xlfn.NORM.S.INV(RAND()))</f>
        <v>61.711849054703279</v>
      </c>
      <c r="BP7">
        <f t="shared" ref="BP7:BP14" ca="1" si="67">BP6 * EXP($B$51 - 0.5 * $B$52^2 + $B$52 * _xlfn.NORM.S.INV(RAND()))</f>
        <v>62.86083214505193</v>
      </c>
      <c r="BQ7">
        <f t="shared" ref="BQ7:BQ14" ca="1" si="68">BQ6 * EXP($B$51 - 0.5 * $B$52^2 + $B$52 * _xlfn.NORM.S.INV(RAND()))</f>
        <v>59.981670071839368</v>
      </c>
      <c r="BR7">
        <f t="shared" ref="BR7:BR14" ca="1" si="69">BR6 * EXP($B$51 - 0.5 * $B$52^2 + $B$52 * _xlfn.NORM.S.INV(RAND()))</f>
        <v>70.669261592449629</v>
      </c>
      <c r="BS7">
        <f t="shared" ca="1" si="6"/>
        <v>66.238155430550975</v>
      </c>
      <c r="BT7">
        <f t="shared" ca="1" si="4"/>
        <v>66.682160670385656</v>
      </c>
      <c r="BU7">
        <f t="shared" ca="1" si="4"/>
        <v>62.452599732743757</v>
      </c>
      <c r="BV7">
        <f t="shared" ca="1" si="4"/>
        <v>64.807624805227334</v>
      </c>
      <c r="BW7">
        <f t="shared" ca="1" si="4"/>
        <v>65.043208119322898</v>
      </c>
      <c r="BX7">
        <f t="shared" ca="1" si="4"/>
        <v>60.483248828288268</v>
      </c>
      <c r="BY7">
        <f t="shared" ca="1" si="4"/>
        <v>71.750459820920995</v>
      </c>
      <c r="BZ7">
        <f t="shared" ca="1" si="4"/>
        <v>63.813481152141975</v>
      </c>
      <c r="CA7">
        <f t="shared" ca="1" si="4"/>
        <v>74.184779899638983</v>
      </c>
      <c r="CB7">
        <f t="shared" ca="1" si="4"/>
        <v>74.072119053737069</v>
      </c>
      <c r="CC7">
        <f t="shared" ca="1" si="4"/>
        <v>67.079164877813199</v>
      </c>
      <c r="CD7">
        <f t="shared" ca="1" si="4"/>
        <v>61.038062339316404</v>
      </c>
      <c r="CE7">
        <f t="shared" ca="1" si="4"/>
        <v>59.855570590357274</v>
      </c>
      <c r="CF7">
        <f t="shared" ca="1" si="4"/>
        <v>68.159932060813148</v>
      </c>
      <c r="CG7">
        <f t="shared" ca="1" si="4"/>
        <v>65.927923649741587</v>
      </c>
      <c r="CH7">
        <f t="shared" ca="1" si="4"/>
        <v>67.083076263728699</v>
      </c>
      <c r="CI7">
        <f t="shared" ca="1" si="4"/>
        <v>59.498727860358848</v>
      </c>
      <c r="CJ7">
        <f t="shared" ca="1" si="4"/>
        <v>62.858743732350057</v>
      </c>
      <c r="CK7">
        <f t="shared" ca="1" si="4"/>
        <v>59.940412860591621</v>
      </c>
      <c r="CL7">
        <f t="shared" ca="1" si="4"/>
        <v>67.961720343173894</v>
      </c>
      <c r="CM7">
        <f t="shared" ca="1" si="4"/>
        <v>64.513882167792104</v>
      </c>
      <c r="CN7">
        <f t="shared" ca="1" si="4"/>
        <v>67.633063128936797</v>
      </c>
      <c r="CO7">
        <f t="shared" ca="1" si="4"/>
        <v>66.57926698687541</v>
      </c>
      <c r="CP7">
        <f t="shared" ca="1" si="4"/>
        <v>64.559976420534284</v>
      </c>
      <c r="CQ7">
        <f t="shared" ca="1" si="4"/>
        <v>65.389953936793177</v>
      </c>
      <c r="CR7">
        <f t="shared" ca="1" si="4"/>
        <v>59.371638160034273</v>
      </c>
      <c r="CS7">
        <f t="shared" ca="1" si="4"/>
        <v>60.894776494647523</v>
      </c>
      <c r="CT7">
        <f t="shared" ca="1" si="4"/>
        <v>65.074858907996628</v>
      </c>
      <c r="CU7">
        <f t="shared" ca="1" si="4"/>
        <v>71.290449918880398</v>
      </c>
      <c r="CV7">
        <f t="shared" ca="1" si="4"/>
        <v>62.832759972411438</v>
      </c>
      <c r="CW7">
        <f t="shared" ca="1" si="4"/>
        <v>65.018217197496838</v>
      </c>
      <c r="CX7">
        <f t="shared" ca="1" si="4"/>
        <v>67.677735659864666</v>
      </c>
      <c r="CY7">
        <f t="shared" ca="1" si="4"/>
        <v>61.22158493486662</v>
      </c>
      <c r="CZ7">
        <f t="shared" ca="1" si="4"/>
        <v>66.413371817272889</v>
      </c>
      <c r="DA7">
        <f t="shared" ca="1" si="4"/>
        <v>68.728787871430256</v>
      </c>
      <c r="DB7">
        <f t="shared" ca="1" si="4"/>
        <v>70.689419739782593</v>
      </c>
    </row>
    <row r="8" spans="1:106" x14ac:dyDescent="0.2">
      <c r="A8" s="49">
        <v>44592</v>
      </c>
      <c r="B8" s="45">
        <v>30.697242003847371</v>
      </c>
      <c r="C8">
        <f t="shared" si="2"/>
        <v>1.9263578366874184E-3</v>
      </c>
      <c r="F8">
        <v>6</v>
      </c>
      <c r="G8">
        <f t="shared" ca="1" si="5"/>
        <v>69.206219249110319</v>
      </c>
      <c r="H8">
        <f t="shared" ca="1" si="7"/>
        <v>71.935775004127095</v>
      </c>
      <c r="I8">
        <f t="shared" ca="1" si="8"/>
        <v>67.993490536798973</v>
      </c>
      <c r="J8">
        <f t="shared" ca="1" si="9"/>
        <v>72.300124286119626</v>
      </c>
      <c r="K8">
        <f t="shared" ca="1" si="10"/>
        <v>60.568048384696127</v>
      </c>
      <c r="L8">
        <f t="shared" ca="1" si="11"/>
        <v>67.46407207993596</v>
      </c>
      <c r="M8">
        <f t="shared" ca="1" si="12"/>
        <v>65.716543643595429</v>
      </c>
      <c r="N8">
        <f t="shared" ca="1" si="13"/>
        <v>68.075217070500742</v>
      </c>
      <c r="O8">
        <f t="shared" ca="1" si="14"/>
        <v>62.735531606666882</v>
      </c>
      <c r="P8">
        <f t="shared" ca="1" si="15"/>
        <v>69.676012106833753</v>
      </c>
      <c r="Q8">
        <f t="shared" ca="1" si="16"/>
        <v>65.303720799966797</v>
      </c>
      <c r="R8">
        <f t="shared" ca="1" si="17"/>
        <v>67.915414129943727</v>
      </c>
      <c r="S8">
        <f t="shared" ca="1" si="18"/>
        <v>63.948393851840322</v>
      </c>
      <c r="T8">
        <f t="shared" ca="1" si="19"/>
        <v>68.462766214637412</v>
      </c>
      <c r="U8">
        <f t="shared" ca="1" si="20"/>
        <v>65.348643590709472</v>
      </c>
      <c r="V8">
        <f t="shared" ca="1" si="21"/>
        <v>66.676459765187062</v>
      </c>
      <c r="W8">
        <f t="shared" ca="1" si="22"/>
        <v>69.812698849108173</v>
      </c>
      <c r="X8">
        <f t="shared" ca="1" si="23"/>
        <v>70.207286599154017</v>
      </c>
      <c r="Y8">
        <f t="shared" ca="1" si="24"/>
        <v>60.986029255937225</v>
      </c>
      <c r="Z8">
        <f t="shared" ca="1" si="25"/>
        <v>66.409595875782941</v>
      </c>
      <c r="AA8">
        <f t="shared" ca="1" si="26"/>
        <v>62.896050396412839</v>
      </c>
      <c r="AB8">
        <f t="shared" ca="1" si="27"/>
        <v>68.93722489208254</v>
      </c>
      <c r="AC8">
        <f t="shared" ca="1" si="28"/>
        <v>63.217836679967739</v>
      </c>
      <c r="AD8">
        <f t="shared" ca="1" si="29"/>
        <v>68.027991994990245</v>
      </c>
      <c r="AE8">
        <f t="shared" ca="1" si="30"/>
        <v>67.572439962378198</v>
      </c>
      <c r="AF8">
        <f t="shared" ca="1" si="31"/>
        <v>67.780882997229497</v>
      </c>
      <c r="AG8">
        <f t="shared" ca="1" si="32"/>
        <v>65.576019248472903</v>
      </c>
      <c r="AH8">
        <f t="shared" ca="1" si="33"/>
        <v>66.061370530686631</v>
      </c>
      <c r="AI8">
        <f t="shared" ca="1" si="34"/>
        <v>70.866252320878061</v>
      </c>
      <c r="AJ8">
        <f t="shared" ca="1" si="35"/>
        <v>59.902659782089103</v>
      </c>
      <c r="AK8">
        <f t="shared" ca="1" si="36"/>
        <v>71.951682962960916</v>
      </c>
      <c r="AL8">
        <f t="shared" ca="1" si="37"/>
        <v>62.611083545464616</v>
      </c>
      <c r="AM8">
        <f t="shared" ca="1" si="38"/>
        <v>76.411928464965641</v>
      </c>
      <c r="AN8">
        <f t="shared" ca="1" si="39"/>
        <v>75.389648375713719</v>
      </c>
      <c r="AO8">
        <f t="shared" ca="1" si="40"/>
        <v>73.470218940680979</v>
      </c>
      <c r="AP8">
        <f t="shared" ca="1" si="41"/>
        <v>76.937238571916708</v>
      </c>
      <c r="AQ8">
        <f t="shared" ca="1" si="42"/>
        <v>66.777296493315234</v>
      </c>
      <c r="AR8">
        <f t="shared" ca="1" si="43"/>
        <v>64.707322810415491</v>
      </c>
      <c r="AS8">
        <f t="shared" ca="1" si="44"/>
        <v>62.722023644035964</v>
      </c>
      <c r="AT8">
        <f t="shared" ca="1" si="45"/>
        <v>59.875393803774443</v>
      </c>
      <c r="AU8">
        <f t="shared" ca="1" si="46"/>
        <v>63.392170528690066</v>
      </c>
      <c r="AV8">
        <f t="shared" ca="1" si="47"/>
        <v>63.641284089401822</v>
      </c>
      <c r="AW8">
        <f t="shared" ca="1" si="48"/>
        <v>68.085594062786939</v>
      </c>
      <c r="AX8">
        <f t="shared" ca="1" si="49"/>
        <v>71.604556713183555</v>
      </c>
      <c r="AY8">
        <f t="shared" ca="1" si="50"/>
        <v>67.555336846508823</v>
      </c>
      <c r="AZ8">
        <f t="shared" ca="1" si="51"/>
        <v>67.228743728219996</v>
      </c>
      <c r="BA8">
        <f t="shared" ca="1" si="52"/>
        <v>62.081845959116002</v>
      </c>
      <c r="BB8">
        <f t="shared" ca="1" si="53"/>
        <v>63.561238957210257</v>
      </c>
      <c r="BC8">
        <f t="shared" ca="1" si="54"/>
        <v>65.312231036817707</v>
      </c>
      <c r="BD8">
        <f t="shared" ca="1" si="55"/>
        <v>66.08376304864322</v>
      </c>
      <c r="BE8">
        <f t="shared" ca="1" si="56"/>
        <v>67.364626017243125</v>
      </c>
      <c r="BF8">
        <f t="shared" ca="1" si="57"/>
        <v>61.096688719354681</v>
      </c>
      <c r="BG8">
        <f t="shared" ca="1" si="58"/>
        <v>71.900312429005794</v>
      </c>
      <c r="BH8">
        <f t="shared" ca="1" si="59"/>
        <v>67.280559792180171</v>
      </c>
      <c r="BI8">
        <f t="shared" ca="1" si="60"/>
        <v>60.877901424928055</v>
      </c>
      <c r="BJ8">
        <f t="shared" ca="1" si="61"/>
        <v>68.108331933783063</v>
      </c>
      <c r="BK8">
        <f t="shared" ca="1" si="62"/>
        <v>70.553212356713033</v>
      </c>
      <c r="BL8">
        <f t="shared" ca="1" si="63"/>
        <v>78.402453388931917</v>
      </c>
      <c r="BM8">
        <f t="shared" ca="1" si="64"/>
        <v>68.041289541642811</v>
      </c>
      <c r="BN8">
        <f t="shared" ca="1" si="65"/>
        <v>66.237846614042525</v>
      </c>
      <c r="BO8">
        <f t="shared" ca="1" si="66"/>
        <v>63.376821145833297</v>
      </c>
      <c r="BP8">
        <f t="shared" ca="1" si="67"/>
        <v>64.703813288342801</v>
      </c>
      <c r="BQ8">
        <f t="shared" ca="1" si="68"/>
        <v>61.121763983116963</v>
      </c>
      <c r="BR8">
        <f t="shared" ca="1" si="69"/>
        <v>70.525458598902418</v>
      </c>
      <c r="BS8">
        <f t="shared" ca="1" si="6"/>
        <v>69.83428329087991</v>
      </c>
      <c r="BT8">
        <f t="shared" ca="1" si="4"/>
        <v>63.863052354014606</v>
      </c>
      <c r="BU8">
        <f t="shared" ca="1" si="4"/>
        <v>63.875833538861706</v>
      </c>
      <c r="BV8">
        <f t="shared" ca="1" si="4"/>
        <v>65.800859598377514</v>
      </c>
      <c r="BW8">
        <f t="shared" ca="1" si="4"/>
        <v>65.428124700126673</v>
      </c>
      <c r="BX8">
        <f t="shared" ca="1" si="4"/>
        <v>59.630982881391233</v>
      </c>
      <c r="BY8">
        <f t="shared" ca="1" si="4"/>
        <v>74.309316344637097</v>
      </c>
      <c r="BZ8">
        <f t="shared" ca="1" si="4"/>
        <v>63.312104496939632</v>
      </c>
      <c r="CA8">
        <f t="shared" ca="1" si="4"/>
        <v>74.227572371147346</v>
      </c>
      <c r="CB8">
        <f t="shared" ca="1" si="4"/>
        <v>76.742368751598903</v>
      </c>
      <c r="CC8">
        <f t="shared" ca="1" si="4"/>
        <v>67.621615426852912</v>
      </c>
      <c r="CD8">
        <f t="shared" ca="1" si="4"/>
        <v>63.018949919255036</v>
      </c>
      <c r="CE8">
        <f t="shared" ca="1" si="4"/>
        <v>61.40887359726927</v>
      </c>
      <c r="CF8">
        <f t="shared" ca="1" si="4"/>
        <v>67.389547198848618</v>
      </c>
      <c r="CG8">
        <f t="shared" ca="1" si="4"/>
        <v>68.544822189782366</v>
      </c>
      <c r="CH8">
        <f t="shared" ca="1" si="4"/>
        <v>67.687601549574069</v>
      </c>
      <c r="CI8">
        <f t="shared" ca="1" si="4"/>
        <v>59.430749032764425</v>
      </c>
      <c r="CJ8">
        <f t="shared" ca="1" si="4"/>
        <v>62.469628239520823</v>
      </c>
      <c r="CK8">
        <f t="shared" ca="1" si="4"/>
        <v>59.416750889511313</v>
      </c>
      <c r="CL8">
        <f t="shared" ca="1" si="4"/>
        <v>66.635721645706326</v>
      </c>
      <c r="CM8">
        <f t="shared" ca="1" si="4"/>
        <v>65.646106651345136</v>
      </c>
      <c r="CN8">
        <f t="shared" ca="1" si="4"/>
        <v>71.015339888114639</v>
      </c>
      <c r="CO8">
        <f t="shared" ca="1" si="4"/>
        <v>69.612286320189341</v>
      </c>
      <c r="CP8">
        <f t="shared" ca="1" si="4"/>
        <v>63.544712627450004</v>
      </c>
      <c r="CQ8">
        <f t="shared" ca="1" si="4"/>
        <v>68.771345824937143</v>
      </c>
      <c r="CR8">
        <f t="shared" ca="1" si="4"/>
        <v>61.26782957794066</v>
      </c>
      <c r="CS8">
        <f t="shared" ca="1" si="4"/>
        <v>60.533412618863956</v>
      </c>
      <c r="CT8">
        <f t="shared" ca="1" si="4"/>
        <v>68.752783889787281</v>
      </c>
      <c r="CU8">
        <f t="shared" ca="1" si="4"/>
        <v>74.615281576025609</v>
      </c>
      <c r="CV8">
        <f t="shared" ca="1" si="4"/>
        <v>62.683595199413695</v>
      </c>
      <c r="CW8">
        <f t="shared" ca="1" si="4"/>
        <v>70.247023717134638</v>
      </c>
      <c r="CX8">
        <f t="shared" ca="1" si="4"/>
        <v>68.889485734312231</v>
      </c>
      <c r="CY8">
        <f t="shared" ca="1" si="4"/>
        <v>59.093039058903038</v>
      </c>
      <c r="CZ8">
        <f t="shared" ca="1" si="4"/>
        <v>67.222119270176321</v>
      </c>
      <c r="DA8">
        <f t="shared" ca="1" si="4"/>
        <v>67.848367123839452</v>
      </c>
      <c r="DB8">
        <f t="shared" ca="1" si="4"/>
        <v>76.907501883602876</v>
      </c>
    </row>
    <row r="9" spans="1:106" x14ac:dyDescent="0.2">
      <c r="A9" s="49">
        <v>44620</v>
      </c>
      <c r="B9" s="45">
        <v>31.621441316893595</v>
      </c>
      <c r="C9">
        <f t="shared" si="2"/>
        <v>2.9662599637593726E-2</v>
      </c>
      <c r="F9">
        <v>7</v>
      </c>
      <c r="G9">
        <f t="shared" ca="1" si="5"/>
        <v>72.069477332151322</v>
      </c>
      <c r="H9">
        <f t="shared" ca="1" si="7"/>
        <v>72.640991495629095</v>
      </c>
      <c r="I9">
        <f t="shared" ca="1" si="8"/>
        <v>68.520206835212761</v>
      </c>
      <c r="J9">
        <f t="shared" ca="1" si="9"/>
        <v>72.369336972423937</v>
      </c>
      <c r="K9">
        <f t="shared" ca="1" si="10"/>
        <v>63.787623934697535</v>
      </c>
      <c r="L9">
        <f t="shared" ca="1" si="11"/>
        <v>69.616459577497068</v>
      </c>
      <c r="M9">
        <f t="shared" ca="1" si="12"/>
        <v>67.496773975437975</v>
      </c>
      <c r="N9">
        <f t="shared" ca="1" si="13"/>
        <v>70.996743140631438</v>
      </c>
      <c r="O9">
        <f t="shared" ca="1" si="14"/>
        <v>64.312319567644622</v>
      </c>
      <c r="P9">
        <f t="shared" ca="1" si="15"/>
        <v>71.952641846464985</v>
      </c>
      <c r="Q9">
        <f t="shared" ca="1" si="16"/>
        <v>64.848501861128767</v>
      </c>
      <c r="R9">
        <f t="shared" ca="1" si="17"/>
        <v>74.342229314075041</v>
      </c>
      <c r="S9">
        <f t="shared" ca="1" si="18"/>
        <v>65.561300080418746</v>
      </c>
      <c r="T9">
        <f t="shared" ca="1" si="19"/>
        <v>69.9727193340985</v>
      </c>
      <c r="U9">
        <f t="shared" ca="1" si="20"/>
        <v>62.633661442895637</v>
      </c>
      <c r="V9">
        <f t="shared" ca="1" si="21"/>
        <v>66.952459966833189</v>
      </c>
      <c r="W9">
        <f t="shared" ca="1" si="22"/>
        <v>67.190868385361171</v>
      </c>
      <c r="X9">
        <f t="shared" ca="1" si="23"/>
        <v>71.412853065828557</v>
      </c>
      <c r="Y9">
        <f t="shared" ca="1" si="24"/>
        <v>61.496906524069715</v>
      </c>
      <c r="Z9">
        <f t="shared" ca="1" si="25"/>
        <v>65.312400511133703</v>
      </c>
      <c r="AA9">
        <f t="shared" ca="1" si="26"/>
        <v>63.12994490945993</v>
      </c>
      <c r="AB9">
        <f t="shared" ca="1" si="27"/>
        <v>70.74780274646271</v>
      </c>
      <c r="AC9">
        <f t="shared" ca="1" si="28"/>
        <v>66.19810989438021</v>
      </c>
      <c r="AD9">
        <f t="shared" ca="1" si="29"/>
        <v>69.307368704942249</v>
      </c>
      <c r="AE9">
        <f t="shared" ca="1" si="30"/>
        <v>68.040168470155038</v>
      </c>
      <c r="AF9">
        <f t="shared" ca="1" si="31"/>
        <v>67.409002173216223</v>
      </c>
      <c r="AG9">
        <f t="shared" ca="1" si="32"/>
        <v>68.16364043605806</v>
      </c>
      <c r="AH9">
        <f t="shared" ca="1" si="33"/>
        <v>65.624870390469809</v>
      </c>
      <c r="AI9">
        <f t="shared" ca="1" si="34"/>
        <v>70.983929991870227</v>
      </c>
      <c r="AJ9">
        <f t="shared" ca="1" si="35"/>
        <v>62.311950207204603</v>
      </c>
      <c r="AK9">
        <f t="shared" ca="1" si="36"/>
        <v>73.876399424657507</v>
      </c>
      <c r="AL9">
        <f t="shared" ca="1" si="37"/>
        <v>63.268499547383584</v>
      </c>
      <c r="AM9">
        <f t="shared" ca="1" si="38"/>
        <v>77.18276931525368</v>
      </c>
      <c r="AN9">
        <f t="shared" ca="1" si="39"/>
        <v>80.635721173229001</v>
      </c>
      <c r="AO9">
        <f t="shared" ca="1" si="40"/>
        <v>74.138172795064833</v>
      </c>
      <c r="AP9">
        <f t="shared" ca="1" si="41"/>
        <v>77.823094758535134</v>
      </c>
      <c r="AQ9">
        <f t="shared" ca="1" si="42"/>
        <v>65.411765998651305</v>
      </c>
      <c r="AR9">
        <f t="shared" ca="1" si="43"/>
        <v>66.637248363073056</v>
      </c>
      <c r="AS9">
        <f t="shared" ca="1" si="44"/>
        <v>64.994747279490184</v>
      </c>
      <c r="AT9">
        <f t="shared" ca="1" si="45"/>
        <v>60.411599286507006</v>
      </c>
      <c r="AU9">
        <f t="shared" ca="1" si="46"/>
        <v>67.460230745964466</v>
      </c>
      <c r="AV9">
        <f t="shared" ca="1" si="47"/>
        <v>66.098569819684684</v>
      </c>
      <c r="AW9">
        <f t="shared" ca="1" si="48"/>
        <v>66.940026558566061</v>
      </c>
      <c r="AX9">
        <f t="shared" ca="1" si="49"/>
        <v>75.759365504619282</v>
      </c>
      <c r="AY9">
        <f t="shared" ca="1" si="50"/>
        <v>66.499041049905955</v>
      </c>
      <c r="AZ9">
        <f t="shared" ca="1" si="51"/>
        <v>67.159410075065011</v>
      </c>
      <c r="BA9">
        <f t="shared" ca="1" si="52"/>
        <v>63.360481392556359</v>
      </c>
      <c r="BB9">
        <f t="shared" ca="1" si="53"/>
        <v>64.148605187103641</v>
      </c>
      <c r="BC9">
        <f t="shared" ca="1" si="54"/>
        <v>66.813829936879671</v>
      </c>
      <c r="BD9">
        <f t="shared" ca="1" si="55"/>
        <v>65.049077709909824</v>
      </c>
      <c r="BE9">
        <f t="shared" ca="1" si="56"/>
        <v>69.203508066728375</v>
      </c>
      <c r="BF9">
        <f t="shared" ca="1" si="57"/>
        <v>61.122996743964613</v>
      </c>
      <c r="BG9">
        <f t="shared" ca="1" si="58"/>
        <v>73.302834260275233</v>
      </c>
      <c r="BH9">
        <f t="shared" ca="1" si="59"/>
        <v>66.397595675929665</v>
      </c>
      <c r="BI9">
        <f t="shared" ca="1" si="60"/>
        <v>60.720064263188981</v>
      </c>
      <c r="BJ9">
        <f t="shared" ca="1" si="61"/>
        <v>69.7895968337791</v>
      </c>
      <c r="BK9">
        <f t="shared" ca="1" si="62"/>
        <v>71.989852383837146</v>
      </c>
      <c r="BL9">
        <f t="shared" ca="1" si="63"/>
        <v>77.328943558028158</v>
      </c>
      <c r="BM9">
        <f t="shared" ca="1" si="64"/>
        <v>70.611337140467384</v>
      </c>
      <c r="BN9">
        <f t="shared" ca="1" si="65"/>
        <v>71.136467739283702</v>
      </c>
      <c r="BO9">
        <f t="shared" ca="1" si="66"/>
        <v>64.262143265821976</v>
      </c>
      <c r="BP9">
        <f t="shared" ca="1" si="67"/>
        <v>60.212264215638015</v>
      </c>
      <c r="BQ9">
        <f t="shared" ca="1" si="68"/>
        <v>62.224552221916937</v>
      </c>
      <c r="BR9">
        <f t="shared" ca="1" si="69"/>
        <v>70.194991511812901</v>
      </c>
      <c r="BS9">
        <f t="shared" ca="1" si="6"/>
        <v>75.72183814339563</v>
      </c>
      <c r="BT9">
        <f t="shared" ca="1" si="4"/>
        <v>63.797239675122817</v>
      </c>
      <c r="BU9">
        <f t="shared" ca="1" si="4"/>
        <v>65.71673116499332</v>
      </c>
      <c r="BV9">
        <f t="shared" ca="1" si="4"/>
        <v>69.610398426798284</v>
      </c>
      <c r="BW9">
        <f t="shared" ca="1" si="4"/>
        <v>68.249048636967231</v>
      </c>
      <c r="BX9">
        <f t="shared" ca="1" si="4"/>
        <v>59.722943980195261</v>
      </c>
      <c r="BY9">
        <f t="shared" ca="1" si="4"/>
        <v>74.090983925771425</v>
      </c>
      <c r="BZ9">
        <f t="shared" ca="1" si="4"/>
        <v>63.18026476278358</v>
      </c>
      <c r="CA9">
        <f t="shared" ca="1" si="4"/>
        <v>73.86306261969591</v>
      </c>
      <c r="CB9">
        <f t="shared" ca="1" si="4"/>
        <v>75.139896693047135</v>
      </c>
      <c r="CC9">
        <f t="shared" ca="1" si="4"/>
        <v>70.111691499443609</v>
      </c>
      <c r="CD9">
        <f t="shared" ca="1" si="4"/>
        <v>61.048145407116621</v>
      </c>
      <c r="CE9">
        <f t="shared" ca="1" si="4"/>
        <v>65.944804969664631</v>
      </c>
      <c r="CF9">
        <f t="shared" ca="1" si="4"/>
        <v>66.534359906959139</v>
      </c>
      <c r="CG9">
        <f t="shared" ca="1" si="4"/>
        <v>71.379740853180081</v>
      </c>
      <c r="CH9">
        <f t="shared" ca="1" si="4"/>
        <v>67.064473756940316</v>
      </c>
      <c r="CI9">
        <f t="shared" ca="1" si="4"/>
        <v>64.959114202437206</v>
      </c>
      <c r="CJ9">
        <f t="shared" ca="1" si="4"/>
        <v>62.796509678756777</v>
      </c>
      <c r="CK9">
        <f t="shared" ca="1" si="4"/>
        <v>60.473062667860972</v>
      </c>
      <c r="CL9">
        <f t="shared" ca="1" si="4"/>
        <v>64.661393596107473</v>
      </c>
      <c r="CM9">
        <f t="shared" ca="1" si="4"/>
        <v>66.80135311742373</v>
      </c>
      <c r="CN9">
        <f t="shared" ca="1" si="4"/>
        <v>74.010191245445867</v>
      </c>
      <c r="CO9">
        <f t="shared" ca="1" si="4"/>
        <v>70.199717100803198</v>
      </c>
      <c r="CP9">
        <f t="shared" ca="1" si="4"/>
        <v>65.669853376862463</v>
      </c>
      <c r="CQ9">
        <f t="shared" ca="1" si="4"/>
        <v>68.459544431636374</v>
      </c>
      <c r="CR9">
        <f t="shared" ca="1" si="4"/>
        <v>59.995228594061246</v>
      </c>
      <c r="CS9">
        <f t="shared" ca="1" si="4"/>
        <v>59.91954739981135</v>
      </c>
      <c r="CT9">
        <f t="shared" ca="1" si="4"/>
        <v>72.395729936025788</v>
      </c>
      <c r="CU9">
        <f t="shared" ca="1" si="4"/>
        <v>75.226624949104291</v>
      </c>
      <c r="CV9">
        <f t="shared" ca="1" si="4"/>
        <v>67.413842599863941</v>
      </c>
      <c r="CW9">
        <f t="shared" ca="1" si="4"/>
        <v>70.389111076103788</v>
      </c>
      <c r="CX9">
        <f t="shared" ca="1" si="4"/>
        <v>73.285502232406984</v>
      </c>
      <c r="CY9">
        <f t="shared" ca="1" si="4"/>
        <v>60.960508541431849</v>
      </c>
      <c r="CZ9">
        <f t="shared" ca="1" si="4"/>
        <v>69.067261785934775</v>
      </c>
      <c r="DA9">
        <f t="shared" ca="1" si="4"/>
        <v>67.483660492672442</v>
      </c>
      <c r="DB9">
        <f t="shared" ca="1" si="4"/>
        <v>80.105105454668461</v>
      </c>
    </row>
    <row r="10" spans="1:106" x14ac:dyDescent="0.2">
      <c r="A10" s="49">
        <v>44651</v>
      </c>
      <c r="B10" s="45">
        <v>33.031786347731497</v>
      </c>
      <c r="C10">
        <f t="shared" si="2"/>
        <v>4.3634907336811919E-2</v>
      </c>
      <c r="F10">
        <v>8</v>
      </c>
      <c r="G10">
        <f t="shared" ca="1" si="5"/>
        <v>75.514181503926508</v>
      </c>
      <c r="H10">
        <f t="shared" ca="1" si="7"/>
        <v>71.722083208173274</v>
      </c>
      <c r="I10">
        <f t="shared" ca="1" si="8"/>
        <v>69.180734183009847</v>
      </c>
      <c r="J10">
        <f t="shared" ca="1" si="9"/>
        <v>72.558614978515735</v>
      </c>
      <c r="K10">
        <f t="shared" ca="1" si="10"/>
        <v>64.936877707553464</v>
      </c>
      <c r="L10">
        <f t="shared" ca="1" si="11"/>
        <v>74.281973198600994</v>
      </c>
      <c r="M10">
        <f t="shared" ca="1" si="12"/>
        <v>69.965906444025293</v>
      </c>
      <c r="N10">
        <f t="shared" ca="1" si="13"/>
        <v>74.542466365784833</v>
      </c>
      <c r="O10">
        <f t="shared" ca="1" si="14"/>
        <v>65.777708537121057</v>
      </c>
      <c r="P10">
        <f t="shared" ca="1" si="15"/>
        <v>72.361484914076811</v>
      </c>
      <c r="Q10">
        <f t="shared" ca="1" si="16"/>
        <v>65.958525465622472</v>
      </c>
      <c r="R10">
        <f t="shared" ca="1" si="17"/>
        <v>78.228431305714864</v>
      </c>
      <c r="S10">
        <f t="shared" ca="1" si="18"/>
        <v>64.39258923400817</v>
      </c>
      <c r="T10">
        <f t="shared" ca="1" si="19"/>
        <v>70.290250541584214</v>
      </c>
      <c r="U10">
        <f t="shared" ca="1" si="20"/>
        <v>63.868825018273064</v>
      </c>
      <c r="V10">
        <f t="shared" ca="1" si="21"/>
        <v>63.771046033144152</v>
      </c>
      <c r="W10">
        <f t="shared" ca="1" si="22"/>
        <v>70.89432143038826</v>
      </c>
      <c r="X10">
        <f t="shared" ca="1" si="23"/>
        <v>73.377787157375352</v>
      </c>
      <c r="Y10">
        <f t="shared" ca="1" si="24"/>
        <v>63.514847649723578</v>
      </c>
      <c r="Z10">
        <f t="shared" ca="1" si="25"/>
        <v>63.391258423041023</v>
      </c>
      <c r="AA10">
        <f t="shared" ca="1" si="26"/>
        <v>64.514317672568822</v>
      </c>
      <c r="AB10">
        <f t="shared" ca="1" si="27"/>
        <v>69.631594536064398</v>
      </c>
      <c r="AC10">
        <f t="shared" ca="1" si="28"/>
        <v>65.604558146466104</v>
      </c>
      <c r="AD10">
        <f t="shared" ca="1" si="29"/>
        <v>73.080643341850049</v>
      </c>
      <c r="AE10">
        <f t="shared" ca="1" si="30"/>
        <v>66.661818189947311</v>
      </c>
      <c r="AF10">
        <f t="shared" ca="1" si="31"/>
        <v>70.740953552563468</v>
      </c>
      <c r="AG10">
        <f t="shared" ca="1" si="32"/>
        <v>69.498455782519898</v>
      </c>
      <c r="AH10">
        <f t="shared" ca="1" si="33"/>
        <v>67.584152488407611</v>
      </c>
      <c r="AI10">
        <f t="shared" ca="1" si="34"/>
        <v>72.848652653462878</v>
      </c>
      <c r="AJ10">
        <f t="shared" ca="1" si="35"/>
        <v>63.593004043305513</v>
      </c>
      <c r="AK10">
        <f t="shared" ca="1" si="36"/>
        <v>75.533219616966292</v>
      </c>
      <c r="AL10">
        <f t="shared" ca="1" si="37"/>
        <v>63.182477136230688</v>
      </c>
      <c r="AM10">
        <f t="shared" ca="1" si="38"/>
        <v>79.296920138248865</v>
      </c>
      <c r="AN10">
        <f t="shared" ca="1" si="39"/>
        <v>81.729620897497881</v>
      </c>
      <c r="AO10">
        <f t="shared" ca="1" si="40"/>
        <v>76.149050048212473</v>
      </c>
      <c r="AP10">
        <f t="shared" ca="1" si="41"/>
        <v>82.058885917635322</v>
      </c>
      <c r="AQ10">
        <f t="shared" ca="1" si="42"/>
        <v>67.557478904158117</v>
      </c>
      <c r="AR10">
        <f t="shared" ca="1" si="43"/>
        <v>68.040131768189113</v>
      </c>
      <c r="AS10">
        <f t="shared" ca="1" si="44"/>
        <v>62.936871927647545</v>
      </c>
      <c r="AT10">
        <f t="shared" ca="1" si="45"/>
        <v>58.809486525890925</v>
      </c>
      <c r="AU10">
        <f t="shared" ca="1" si="46"/>
        <v>68.484063614153015</v>
      </c>
      <c r="AV10">
        <f t="shared" ca="1" si="47"/>
        <v>64.109996432532085</v>
      </c>
      <c r="AW10">
        <f t="shared" ca="1" si="48"/>
        <v>65.896079762409329</v>
      </c>
      <c r="AX10">
        <f t="shared" ca="1" si="49"/>
        <v>77.179248018372789</v>
      </c>
      <c r="AY10">
        <f t="shared" ca="1" si="50"/>
        <v>64.347315960194024</v>
      </c>
      <c r="AZ10">
        <f t="shared" ca="1" si="51"/>
        <v>65.770549930643028</v>
      </c>
      <c r="BA10">
        <f t="shared" ca="1" si="52"/>
        <v>65.47282321194119</v>
      </c>
      <c r="BB10">
        <f t="shared" ca="1" si="53"/>
        <v>65.311686507252901</v>
      </c>
      <c r="BC10">
        <f t="shared" ca="1" si="54"/>
        <v>69.680901924760363</v>
      </c>
      <c r="BD10">
        <f t="shared" ca="1" si="55"/>
        <v>66.9631270429079</v>
      </c>
      <c r="BE10">
        <f t="shared" ca="1" si="56"/>
        <v>70.485592554220261</v>
      </c>
      <c r="BF10">
        <f t="shared" ca="1" si="57"/>
        <v>62.814065161264814</v>
      </c>
      <c r="BG10">
        <f t="shared" ca="1" si="58"/>
        <v>72.230674137797607</v>
      </c>
      <c r="BH10">
        <f t="shared" ca="1" si="59"/>
        <v>66.000855663863518</v>
      </c>
      <c r="BI10">
        <f t="shared" ca="1" si="60"/>
        <v>59.060414978947968</v>
      </c>
      <c r="BJ10">
        <f t="shared" ca="1" si="61"/>
        <v>70.071782905344577</v>
      </c>
      <c r="BK10">
        <f t="shared" ca="1" si="62"/>
        <v>74.79564643298869</v>
      </c>
      <c r="BL10">
        <f t="shared" ca="1" si="63"/>
        <v>76.783280736977147</v>
      </c>
      <c r="BM10">
        <f t="shared" ca="1" si="64"/>
        <v>72.541947220003223</v>
      </c>
      <c r="BN10">
        <f t="shared" ca="1" si="65"/>
        <v>71.948982020022726</v>
      </c>
      <c r="BO10">
        <f t="shared" ca="1" si="66"/>
        <v>64.130769192995743</v>
      </c>
      <c r="BP10">
        <f t="shared" ca="1" si="67"/>
        <v>58.85674332697554</v>
      </c>
      <c r="BQ10">
        <f t="shared" ca="1" si="68"/>
        <v>60.647387764311524</v>
      </c>
      <c r="BR10">
        <f t="shared" ca="1" si="69"/>
        <v>71.707424122583248</v>
      </c>
      <c r="BS10">
        <f t="shared" ca="1" si="6"/>
        <v>75.771403169896899</v>
      </c>
      <c r="BT10">
        <f t="shared" ca="1" si="4"/>
        <v>66.900862025378899</v>
      </c>
      <c r="BU10">
        <f t="shared" ca="1" si="4"/>
        <v>66.634214347501867</v>
      </c>
      <c r="BV10">
        <f t="shared" ca="1" si="4"/>
        <v>67.950676389121924</v>
      </c>
      <c r="BW10">
        <f t="shared" ca="1" si="4"/>
        <v>71.345309082518838</v>
      </c>
      <c r="BX10">
        <f t="shared" ca="1" si="4"/>
        <v>57.410719859574414</v>
      </c>
      <c r="BY10">
        <f t="shared" ca="1" si="4"/>
        <v>77.795684061917839</v>
      </c>
      <c r="BZ10">
        <f t="shared" ca="1" si="4"/>
        <v>64.581761838329356</v>
      </c>
      <c r="CA10">
        <f t="shared" ca="1" si="4"/>
        <v>76.956523106088554</v>
      </c>
      <c r="CB10">
        <f t="shared" ca="1" si="4"/>
        <v>77.392120778364486</v>
      </c>
      <c r="CC10">
        <f t="shared" ca="1" si="4"/>
        <v>70.415261489718574</v>
      </c>
      <c r="CD10">
        <f t="shared" ref="CD10:CD14" ca="1" si="70">CD9 * EXP($B$51 - 0.5 * $B$52^2 + $B$52 * _xlfn.NORM.S.INV(RAND()))</f>
        <v>62.205732233097429</v>
      </c>
      <c r="CE10">
        <f t="shared" ref="CE10:CE14" ca="1" si="71">CE9 * EXP($B$51 - 0.5 * $B$52^2 + $B$52 * _xlfn.NORM.S.INV(RAND()))</f>
        <v>67.748114893653423</v>
      </c>
      <c r="CF10">
        <f t="shared" ref="CF10:CF14" ca="1" si="72">CF9 * EXP($B$51 - 0.5 * $B$52^2 + $B$52 * _xlfn.NORM.S.INV(RAND()))</f>
        <v>63.415855395078715</v>
      </c>
      <c r="CG10">
        <f t="shared" ref="CG10:CG14" ca="1" si="73">CG9 * EXP($B$51 - 0.5 * $B$52^2 + $B$52 * _xlfn.NORM.S.INV(RAND()))</f>
        <v>75.748308962769528</v>
      </c>
      <c r="CH10">
        <f t="shared" ref="CH10:CH14" ca="1" si="74">CH9 * EXP($B$51 - 0.5 * $B$52^2 + $B$52 * _xlfn.NORM.S.INV(RAND()))</f>
        <v>69.269823951498807</v>
      </c>
      <c r="CI10">
        <f t="shared" ref="CI10:CI14" ca="1" si="75">CI9 * EXP($B$51 - 0.5 * $B$52^2 + $B$52 * _xlfn.NORM.S.INV(RAND()))</f>
        <v>68.496538967635317</v>
      </c>
      <c r="CJ10">
        <f t="shared" ref="CJ10:CJ14" ca="1" si="76">CJ9 * EXP($B$51 - 0.5 * $B$52^2 + $B$52 * _xlfn.NORM.S.INV(RAND()))</f>
        <v>63.912937902300662</v>
      </c>
      <c r="CK10">
        <f t="shared" ref="CK10:CK14" ca="1" si="77">CK9 * EXP($B$51 - 0.5 * $B$52^2 + $B$52 * _xlfn.NORM.S.INV(RAND()))</f>
        <v>60.950040051989703</v>
      </c>
      <c r="CL10">
        <f t="shared" ref="CL10:CL14" ca="1" si="78">CL9 * EXP($B$51 - 0.5 * $B$52^2 + $B$52 * _xlfn.NORM.S.INV(RAND()))</f>
        <v>66.242712985789652</v>
      </c>
      <c r="CM10">
        <f t="shared" ref="CM10:CM14" ca="1" si="79">CM9 * EXP($B$51 - 0.5 * $B$52^2 + $B$52 * _xlfn.NORM.S.INV(RAND()))</f>
        <v>69.366551392718904</v>
      </c>
      <c r="CN10">
        <f t="shared" ref="CN10:CN14" ca="1" si="80">CN9 * EXP($B$51 - 0.5 * $B$52^2 + $B$52 * _xlfn.NORM.S.INV(RAND()))</f>
        <v>73.73789295700287</v>
      </c>
      <c r="CO10">
        <f t="shared" ref="CO10:CO14" ca="1" si="81">CO9 * EXP($B$51 - 0.5 * $B$52^2 + $B$52 * _xlfn.NORM.S.INV(RAND()))</f>
        <v>68.211879968512719</v>
      </c>
      <c r="CP10">
        <f t="shared" ref="CP10:CP14" ca="1" si="82">CP9 * EXP($B$51 - 0.5 * $B$52^2 + $B$52 * _xlfn.NORM.S.INV(RAND()))</f>
        <v>61.954654070620812</v>
      </c>
      <c r="CQ10">
        <f t="shared" ref="CQ10:CQ14" ca="1" si="83">CQ9 * EXP($B$51 - 0.5 * $B$52^2 + $B$52 * _xlfn.NORM.S.INV(RAND()))</f>
        <v>66.739574489947998</v>
      </c>
      <c r="CR10">
        <f t="shared" ref="CR10:CR14" ca="1" si="84">CR9 * EXP($B$51 - 0.5 * $B$52^2 + $B$52 * _xlfn.NORM.S.INV(RAND()))</f>
        <v>62.314242438172272</v>
      </c>
      <c r="CS10">
        <f t="shared" ref="CS10:CS14" ca="1" si="85">CS9 * EXP($B$51 - 0.5 * $B$52^2 + $B$52 * _xlfn.NORM.S.INV(RAND()))</f>
        <v>60.989272467489542</v>
      </c>
      <c r="CT10">
        <f t="shared" ref="CT10:CT14" ca="1" si="86">CT9 * EXP($B$51 - 0.5 * $B$52^2 + $B$52 * _xlfn.NORM.S.INV(RAND()))</f>
        <v>72.616103954548237</v>
      </c>
      <c r="CU10">
        <f t="shared" ref="CU10:CU14" ca="1" si="87">CU9 * EXP($B$51 - 0.5 * $B$52^2 + $B$52 * _xlfn.NORM.S.INV(RAND()))</f>
        <v>75.987555104949536</v>
      </c>
      <c r="CV10">
        <f t="shared" ref="CV10:CV14" ca="1" si="88">CV9 * EXP($B$51 - 0.5 * $B$52^2 + $B$52 * _xlfn.NORM.S.INV(RAND()))</f>
        <v>68.40842265891051</v>
      </c>
      <c r="CW10">
        <f t="shared" ref="CW10:CW14" ca="1" si="89">CW9 * EXP($B$51 - 0.5 * $B$52^2 + $B$52 * _xlfn.NORM.S.INV(RAND()))</f>
        <v>72.883051443512073</v>
      </c>
      <c r="CX10">
        <f t="shared" ref="CX10:CX14" ca="1" si="90">CX9 * EXP($B$51 - 0.5 * $B$52^2 + $B$52 * _xlfn.NORM.S.INV(RAND()))</f>
        <v>76.578386766960463</v>
      </c>
      <c r="CY10">
        <f t="shared" ref="CY10:CY14" ca="1" si="91">CY9 * EXP($B$51 - 0.5 * $B$52^2 + $B$52 * _xlfn.NORM.S.INV(RAND()))</f>
        <v>59.036057690198383</v>
      </c>
      <c r="CZ10">
        <f t="shared" ref="CZ10:CZ14" ca="1" si="92">CZ9 * EXP($B$51 - 0.5 * $B$52^2 + $B$52 * _xlfn.NORM.S.INV(RAND()))</f>
        <v>63.581608741458084</v>
      </c>
      <c r="DA10">
        <f t="shared" ref="DA10:DA14" ca="1" si="93">DA9 * EXP($B$51 - 0.5 * $B$52^2 + $B$52 * _xlfn.NORM.S.INV(RAND()))</f>
        <v>66.737423629527527</v>
      </c>
      <c r="DB10">
        <f t="shared" ref="DB10:DB14" ca="1" si="94">DB9 * EXP($B$51 - 0.5 * $B$52^2 + $B$52 * _xlfn.NORM.S.INV(RAND()))</f>
        <v>83.756192634346576</v>
      </c>
    </row>
    <row r="11" spans="1:106" x14ac:dyDescent="0.2">
      <c r="A11" s="49">
        <v>44680</v>
      </c>
      <c r="B11" s="45">
        <v>32.721263952073997</v>
      </c>
      <c r="C11">
        <f t="shared" si="2"/>
        <v>-9.4451801931750914E-3</v>
      </c>
      <c r="F11">
        <v>9</v>
      </c>
      <c r="G11">
        <f t="shared" ca="1" si="5"/>
        <v>74.286444445789456</v>
      </c>
      <c r="H11">
        <f t="shared" ca="1" si="7"/>
        <v>70.43059093696624</v>
      </c>
      <c r="I11">
        <f t="shared" ca="1" si="8"/>
        <v>67.921201440588447</v>
      </c>
      <c r="J11">
        <f t="shared" ca="1" si="9"/>
        <v>74.489132327938137</v>
      </c>
      <c r="K11">
        <f t="shared" ca="1" si="10"/>
        <v>66.461306511863881</v>
      </c>
      <c r="L11">
        <f t="shared" ca="1" si="11"/>
        <v>76.506236728833628</v>
      </c>
      <c r="M11">
        <f t="shared" ca="1" si="12"/>
        <v>67.808439359024391</v>
      </c>
      <c r="N11">
        <f t="shared" ca="1" si="13"/>
        <v>71.321031235301788</v>
      </c>
      <c r="O11">
        <f t="shared" ca="1" si="14"/>
        <v>67.747871916454784</v>
      </c>
      <c r="P11">
        <f t="shared" ca="1" si="15"/>
        <v>72.281075765809533</v>
      </c>
      <c r="Q11">
        <f t="shared" ca="1" si="16"/>
        <v>68.837788666087675</v>
      </c>
      <c r="R11">
        <f t="shared" ca="1" si="17"/>
        <v>74.702110147237974</v>
      </c>
      <c r="S11">
        <f t="shared" ca="1" si="18"/>
        <v>64.247322873148534</v>
      </c>
      <c r="T11">
        <f t="shared" ca="1" si="19"/>
        <v>68.897659714321065</v>
      </c>
      <c r="U11">
        <f t="shared" ca="1" si="20"/>
        <v>67.758896833885885</v>
      </c>
      <c r="V11">
        <f t="shared" ca="1" si="21"/>
        <v>65.76606596118576</v>
      </c>
      <c r="W11">
        <f t="shared" ca="1" si="22"/>
        <v>71.798585198465702</v>
      </c>
      <c r="X11">
        <f t="shared" ca="1" si="23"/>
        <v>71.211323870701676</v>
      </c>
      <c r="Y11">
        <f t="shared" ca="1" si="24"/>
        <v>63.322570776168327</v>
      </c>
      <c r="Z11">
        <f t="shared" ca="1" si="25"/>
        <v>64.616836935502135</v>
      </c>
      <c r="AA11">
        <f t="shared" ca="1" si="26"/>
        <v>64.357672036340432</v>
      </c>
      <c r="AB11">
        <f t="shared" ca="1" si="27"/>
        <v>70.072466899191213</v>
      </c>
      <c r="AC11">
        <f t="shared" ca="1" si="28"/>
        <v>63.686508350045585</v>
      </c>
      <c r="AD11">
        <f t="shared" ca="1" si="29"/>
        <v>74.581426819154942</v>
      </c>
      <c r="AE11">
        <f t="shared" ca="1" si="30"/>
        <v>70.114247150953787</v>
      </c>
      <c r="AF11">
        <f t="shared" ca="1" si="31"/>
        <v>72.166583587745919</v>
      </c>
      <c r="AG11">
        <f t="shared" ca="1" si="32"/>
        <v>70.876756814847027</v>
      </c>
      <c r="AH11">
        <f t="shared" ca="1" si="33"/>
        <v>68.871646383324745</v>
      </c>
      <c r="AI11">
        <f t="shared" ca="1" si="34"/>
        <v>75.030449420333312</v>
      </c>
      <c r="AJ11">
        <f t="shared" ca="1" si="35"/>
        <v>61.796459672281713</v>
      </c>
      <c r="AK11">
        <f t="shared" ca="1" si="36"/>
        <v>80.427654621224093</v>
      </c>
      <c r="AL11">
        <f t="shared" ca="1" si="37"/>
        <v>61.371951391859952</v>
      </c>
      <c r="AM11">
        <f t="shared" ca="1" si="38"/>
        <v>85.220146924539463</v>
      </c>
      <c r="AN11">
        <f t="shared" ca="1" si="39"/>
        <v>80.88546145032943</v>
      </c>
      <c r="AO11">
        <f t="shared" ca="1" si="40"/>
        <v>75.242769973892806</v>
      </c>
      <c r="AP11">
        <f t="shared" ca="1" si="41"/>
        <v>87.018341140517407</v>
      </c>
      <c r="AQ11">
        <f t="shared" ca="1" si="42"/>
        <v>69.814793426731768</v>
      </c>
      <c r="AR11">
        <f t="shared" ca="1" si="43"/>
        <v>73.293280773061994</v>
      </c>
      <c r="AS11">
        <f t="shared" ca="1" si="44"/>
        <v>64.370208636039649</v>
      </c>
      <c r="AT11">
        <f t="shared" ca="1" si="45"/>
        <v>62.551293243272823</v>
      </c>
      <c r="AU11">
        <f t="shared" ca="1" si="46"/>
        <v>75.36158943230464</v>
      </c>
      <c r="AV11">
        <f t="shared" ca="1" si="47"/>
        <v>63.845948426442057</v>
      </c>
      <c r="AW11">
        <f t="shared" ca="1" si="48"/>
        <v>67.181530758730545</v>
      </c>
      <c r="AX11">
        <f t="shared" ca="1" si="49"/>
        <v>79.369591555053049</v>
      </c>
      <c r="AY11">
        <f t="shared" ca="1" si="50"/>
        <v>62.090022460118448</v>
      </c>
      <c r="AZ11">
        <f t="shared" ca="1" si="51"/>
        <v>66.208918880470719</v>
      </c>
      <c r="BA11">
        <f t="shared" ca="1" si="52"/>
        <v>66.950816305586187</v>
      </c>
      <c r="BB11">
        <f t="shared" ca="1" si="53"/>
        <v>66.575043329546304</v>
      </c>
      <c r="BC11">
        <f t="shared" ca="1" si="54"/>
        <v>71.048423345832362</v>
      </c>
      <c r="BD11">
        <f t="shared" ca="1" si="55"/>
        <v>67.873161031043011</v>
      </c>
      <c r="BE11">
        <f t="shared" ca="1" si="56"/>
        <v>73.527636420845241</v>
      </c>
      <c r="BF11">
        <f t="shared" ca="1" si="57"/>
        <v>64.699773855724942</v>
      </c>
      <c r="BG11">
        <f t="shared" ca="1" si="58"/>
        <v>71.585558674390739</v>
      </c>
      <c r="BH11">
        <f t="shared" ca="1" si="59"/>
        <v>65.400743877357058</v>
      </c>
      <c r="BI11">
        <f t="shared" ca="1" si="60"/>
        <v>60.812541725176118</v>
      </c>
      <c r="BJ11">
        <f t="shared" ca="1" si="61"/>
        <v>68.972332513418863</v>
      </c>
      <c r="BK11">
        <f t="shared" ca="1" si="62"/>
        <v>77.166180895728345</v>
      </c>
      <c r="BL11">
        <f t="shared" ca="1" si="63"/>
        <v>75.385780203054253</v>
      </c>
      <c r="BM11">
        <f t="shared" ca="1" si="64"/>
        <v>73.597942214940659</v>
      </c>
      <c r="BN11">
        <f t="shared" ca="1" si="65"/>
        <v>74.043338468170148</v>
      </c>
      <c r="BO11">
        <f t="shared" ca="1" si="66"/>
        <v>62.799144025497583</v>
      </c>
      <c r="BP11">
        <f t="shared" ca="1" si="67"/>
        <v>59.641335276450384</v>
      </c>
      <c r="BQ11">
        <f t="shared" ca="1" si="68"/>
        <v>58.585318398863151</v>
      </c>
      <c r="BR11">
        <f t="shared" ca="1" si="69"/>
        <v>70.684220683309064</v>
      </c>
      <c r="BS11">
        <f t="shared" ca="1" si="6"/>
        <v>77.926197444086824</v>
      </c>
      <c r="BT11">
        <f t="shared" ref="BT11:BT14" ca="1" si="95">BT10 * EXP($B$51 - 0.5 * $B$52^2 + $B$52 * _xlfn.NORM.S.INV(RAND()))</f>
        <v>65.989401059086504</v>
      </c>
      <c r="BU11">
        <f t="shared" ref="BU11:BU14" ca="1" si="96">BU10 * EXP($B$51 - 0.5 * $B$52^2 + $B$52 * _xlfn.NORM.S.INV(RAND()))</f>
        <v>65.600554775948908</v>
      </c>
      <c r="BV11">
        <f t="shared" ref="BV11:BV14" ca="1" si="97">BV10 * EXP($B$51 - 0.5 * $B$52^2 + $B$52 * _xlfn.NORM.S.INV(RAND()))</f>
        <v>71.233857299953669</v>
      </c>
      <c r="BW11">
        <f t="shared" ref="BW11:BW14" ca="1" si="98">BW10 * EXP($B$51 - 0.5 * $B$52^2 + $B$52 * _xlfn.NORM.S.INV(RAND()))</f>
        <v>71.113347543817881</v>
      </c>
      <c r="BX11">
        <f t="shared" ref="BX11:BX14" ca="1" si="99">BX10 * EXP($B$51 - 0.5 * $B$52^2 + $B$52 * _xlfn.NORM.S.INV(RAND()))</f>
        <v>55.891200339287444</v>
      </c>
      <c r="BY11">
        <f t="shared" ref="BY11:BY14" ca="1" si="100">BY10 * EXP($B$51 - 0.5 * $B$52^2 + $B$52 * _xlfn.NORM.S.INV(RAND()))</f>
        <v>76.956639284248908</v>
      </c>
      <c r="BZ11">
        <f t="shared" ref="BZ11:BZ14" ca="1" si="101">BZ10 * EXP($B$51 - 0.5 * $B$52^2 + $B$52 * _xlfn.NORM.S.INV(RAND()))</f>
        <v>65.348396075595247</v>
      </c>
      <c r="CA11">
        <f t="shared" ref="CA11:CA14" ca="1" si="102">CA10 * EXP($B$51 - 0.5 * $B$52^2 + $B$52 * _xlfn.NORM.S.INV(RAND()))</f>
        <v>78.428629167929614</v>
      </c>
      <c r="CB11">
        <f t="shared" ref="CB11:CB14" ca="1" si="103">CB10 * EXP($B$51 - 0.5 * $B$52^2 + $B$52 * _xlfn.NORM.S.INV(RAND()))</f>
        <v>81.209600295506391</v>
      </c>
      <c r="CC11">
        <f t="shared" ref="CC11:CC14" ca="1" si="104">CC10 * EXP($B$51 - 0.5 * $B$52^2 + $B$52 * _xlfn.NORM.S.INV(RAND()))</f>
        <v>68.766311619112329</v>
      </c>
      <c r="CD11">
        <f t="shared" ca="1" si="70"/>
        <v>62.275683589480856</v>
      </c>
      <c r="CE11">
        <f t="shared" ca="1" si="71"/>
        <v>68.926590164838061</v>
      </c>
      <c r="CF11">
        <f t="shared" ca="1" si="72"/>
        <v>65.797353415514166</v>
      </c>
      <c r="CG11">
        <f t="shared" ca="1" si="73"/>
        <v>74.723195495014366</v>
      </c>
      <c r="CH11">
        <f t="shared" ca="1" si="74"/>
        <v>67.099000549823529</v>
      </c>
      <c r="CI11">
        <f t="shared" ca="1" si="75"/>
        <v>69.812388101211454</v>
      </c>
      <c r="CJ11">
        <f t="shared" ca="1" si="76"/>
        <v>67.176381720505404</v>
      </c>
      <c r="CK11">
        <f t="shared" ca="1" si="77"/>
        <v>67.531965046331507</v>
      </c>
      <c r="CL11">
        <f t="shared" ca="1" si="78"/>
        <v>65.175792332862713</v>
      </c>
      <c r="CM11">
        <f t="shared" ca="1" si="79"/>
        <v>69.3771613227741</v>
      </c>
      <c r="CN11">
        <f t="shared" ca="1" si="80"/>
        <v>73.199214078363269</v>
      </c>
      <c r="CO11">
        <f t="shared" ca="1" si="81"/>
        <v>66.190661269892303</v>
      </c>
      <c r="CP11">
        <f t="shared" ca="1" si="82"/>
        <v>60.17849361313047</v>
      </c>
      <c r="CQ11">
        <f t="shared" ca="1" si="83"/>
        <v>69.38130027180064</v>
      </c>
      <c r="CR11">
        <f t="shared" ca="1" si="84"/>
        <v>59.649466398307041</v>
      </c>
      <c r="CS11">
        <f t="shared" ca="1" si="85"/>
        <v>61.070912298086135</v>
      </c>
      <c r="CT11">
        <f t="shared" ca="1" si="86"/>
        <v>75.991009038863069</v>
      </c>
      <c r="CU11">
        <f t="shared" ca="1" si="87"/>
        <v>80.575139550820012</v>
      </c>
      <c r="CV11">
        <f t="shared" ca="1" si="88"/>
        <v>73.788438138281251</v>
      </c>
      <c r="CW11">
        <f t="shared" ca="1" si="89"/>
        <v>72.071302990252633</v>
      </c>
      <c r="CX11">
        <f t="shared" ca="1" si="90"/>
        <v>77.998805979254243</v>
      </c>
      <c r="CY11">
        <f t="shared" ca="1" si="91"/>
        <v>58.296643134629036</v>
      </c>
      <c r="CZ11">
        <f t="shared" ca="1" si="92"/>
        <v>66.113454404423024</v>
      </c>
      <c r="DA11">
        <f t="shared" ca="1" si="93"/>
        <v>71.921791984709046</v>
      </c>
      <c r="DB11">
        <f t="shared" ca="1" si="94"/>
        <v>85.549034496459569</v>
      </c>
    </row>
    <row r="12" spans="1:106" x14ac:dyDescent="0.2">
      <c r="A12" s="49">
        <v>44712</v>
      </c>
      <c r="B12" s="45">
        <v>31.815015459139108</v>
      </c>
      <c r="C12">
        <f t="shared" si="2"/>
        <v>-2.8086777738681477E-2</v>
      </c>
      <c r="F12">
        <v>10</v>
      </c>
      <c r="G12">
        <f t="shared" ca="1" si="5"/>
        <v>75.749096769925174</v>
      </c>
      <c r="H12">
        <f t="shared" ca="1" si="7"/>
        <v>72.524235373641162</v>
      </c>
      <c r="I12">
        <f t="shared" ca="1" si="8"/>
        <v>67.805310787527063</v>
      </c>
      <c r="J12">
        <f t="shared" ca="1" si="9"/>
        <v>76.936405558214275</v>
      </c>
      <c r="K12">
        <f t="shared" ca="1" si="10"/>
        <v>68.259100286733329</v>
      </c>
      <c r="L12">
        <f t="shared" ca="1" si="11"/>
        <v>75.669803781885975</v>
      </c>
      <c r="M12">
        <f t="shared" ca="1" si="12"/>
        <v>67.981626872233363</v>
      </c>
      <c r="N12">
        <f t="shared" ca="1" si="13"/>
        <v>75.26799056166125</v>
      </c>
      <c r="O12">
        <f t="shared" ca="1" si="14"/>
        <v>72.677162627355145</v>
      </c>
      <c r="P12">
        <f t="shared" ca="1" si="15"/>
        <v>73.132524646374733</v>
      </c>
      <c r="Q12">
        <f t="shared" ca="1" si="16"/>
        <v>69.94277177228301</v>
      </c>
      <c r="R12">
        <f t="shared" ca="1" si="17"/>
        <v>76.92297530926723</v>
      </c>
      <c r="S12">
        <f t="shared" ca="1" si="18"/>
        <v>65.570340717473627</v>
      </c>
      <c r="T12">
        <f t="shared" ca="1" si="19"/>
        <v>69.663109899525693</v>
      </c>
      <c r="U12">
        <f t="shared" ca="1" si="20"/>
        <v>69.683599185433451</v>
      </c>
      <c r="V12">
        <f t="shared" ca="1" si="21"/>
        <v>66.086062402876053</v>
      </c>
      <c r="W12">
        <f t="shared" ca="1" si="22"/>
        <v>76.074435687806186</v>
      </c>
      <c r="X12">
        <f t="shared" ca="1" si="23"/>
        <v>72.806021203113829</v>
      </c>
      <c r="Y12">
        <f t="shared" ca="1" si="24"/>
        <v>62.169639962147265</v>
      </c>
      <c r="Z12">
        <f t="shared" ca="1" si="25"/>
        <v>66.893792176609068</v>
      </c>
      <c r="AA12">
        <f t="shared" ca="1" si="26"/>
        <v>67.198522577577819</v>
      </c>
      <c r="AB12">
        <f t="shared" ca="1" si="27"/>
        <v>73.663834451502154</v>
      </c>
      <c r="AC12">
        <f t="shared" ca="1" si="28"/>
        <v>64.161538903135934</v>
      </c>
      <c r="AD12">
        <f t="shared" ca="1" si="29"/>
        <v>78.169179436241748</v>
      </c>
      <c r="AE12">
        <f t="shared" ca="1" si="30"/>
        <v>71.288651588082871</v>
      </c>
      <c r="AF12">
        <f t="shared" ca="1" si="31"/>
        <v>72.620711727161321</v>
      </c>
      <c r="AG12">
        <f t="shared" ca="1" si="32"/>
        <v>69.839485489746522</v>
      </c>
      <c r="AH12">
        <f t="shared" ca="1" si="33"/>
        <v>68.224065936351465</v>
      </c>
      <c r="AI12">
        <f t="shared" ca="1" si="34"/>
        <v>74.314081028653803</v>
      </c>
      <c r="AJ12">
        <f t="shared" ca="1" si="35"/>
        <v>61.867020049889597</v>
      </c>
      <c r="AK12">
        <f t="shared" ca="1" si="36"/>
        <v>78.089376254420529</v>
      </c>
      <c r="AL12">
        <f t="shared" ca="1" si="37"/>
        <v>61.184488259352705</v>
      </c>
      <c r="AM12">
        <f t="shared" ca="1" si="38"/>
        <v>90.059151617807231</v>
      </c>
      <c r="AN12">
        <f t="shared" ca="1" si="39"/>
        <v>81.725634672202844</v>
      </c>
      <c r="AO12">
        <f t="shared" ca="1" si="40"/>
        <v>73.919417867361958</v>
      </c>
      <c r="AP12">
        <f t="shared" ca="1" si="41"/>
        <v>85.285881602372129</v>
      </c>
      <c r="AQ12">
        <f t="shared" ca="1" si="42"/>
        <v>70.256971674809961</v>
      </c>
      <c r="AR12">
        <f t="shared" ca="1" si="43"/>
        <v>74.633000049759033</v>
      </c>
      <c r="AS12">
        <f t="shared" ca="1" si="44"/>
        <v>64.869221240457861</v>
      </c>
      <c r="AT12">
        <f t="shared" ca="1" si="45"/>
        <v>62.456322534622586</v>
      </c>
      <c r="AU12">
        <f t="shared" ca="1" si="46"/>
        <v>77.063789309135231</v>
      </c>
      <c r="AV12">
        <f t="shared" ca="1" si="47"/>
        <v>64.911612388645906</v>
      </c>
      <c r="AW12">
        <f t="shared" ca="1" si="48"/>
        <v>68.325492891202344</v>
      </c>
      <c r="AX12">
        <f t="shared" ca="1" si="49"/>
        <v>80.855843192813609</v>
      </c>
      <c r="AY12">
        <f t="shared" ca="1" si="50"/>
        <v>65.918978963923891</v>
      </c>
      <c r="AZ12">
        <f t="shared" ca="1" si="51"/>
        <v>65.674758184137701</v>
      </c>
      <c r="BA12">
        <f t="shared" ca="1" si="52"/>
        <v>73.36724673164818</v>
      </c>
      <c r="BB12">
        <f t="shared" ca="1" si="53"/>
        <v>65.709680132045065</v>
      </c>
      <c r="BC12">
        <f t="shared" ca="1" si="54"/>
        <v>74.00732753076052</v>
      </c>
      <c r="BD12">
        <f t="shared" ca="1" si="55"/>
        <v>70.015564448183198</v>
      </c>
      <c r="BE12">
        <f t="shared" ca="1" si="56"/>
        <v>73.713990513473647</v>
      </c>
      <c r="BF12">
        <f t="shared" ca="1" si="57"/>
        <v>63.011178457245613</v>
      </c>
      <c r="BG12">
        <f t="shared" ca="1" si="58"/>
        <v>74.875420896719476</v>
      </c>
      <c r="BH12">
        <f t="shared" ca="1" si="59"/>
        <v>69.451985415951953</v>
      </c>
      <c r="BI12">
        <f t="shared" ca="1" si="60"/>
        <v>61.459028459003896</v>
      </c>
      <c r="BJ12">
        <f t="shared" ca="1" si="61"/>
        <v>69.526096844788299</v>
      </c>
      <c r="BK12">
        <f t="shared" ca="1" si="62"/>
        <v>78.929596622836087</v>
      </c>
      <c r="BL12">
        <f t="shared" ca="1" si="63"/>
        <v>75.800626041164492</v>
      </c>
      <c r="BM12">
        <f t="shared" ca="1" si="64"/>
        <v>75.778386256011373</v>
      </c>
      <c r="BN12">
        <f t="shared" ca="1" si="65"/>
        <v>76.946368631210774</v>
      </c>
      <c r="BO12">
        <f t="shared" ca="1" si="66"/>
        <v>65.709505621171061</v>
      </c>
      <c r="BP12">
        <f t="shared" ca="1" si="67"/>
        <v>65.165495879693509</v>
      </c>
      <c r="BQ12">
        <f t="shared" ca="1" si="68"/>
        <v>61.389101167228219</v>
      </c>
      <c r="BR12">
        <f t="shared" ca="1" si="69"/>
        <v>71.803856449071276</v>
      </c>
      <c r="BS12">
        <f t="shared" ca="1" si="6"/>
        <v>80.091202057627697</v>
      </c>
      <c r="BT12">
        <f t="shared" ca="1" si="95"/>
        <v>66.688559651843732</v>
      </c>
      <c r="BU12">
        <f t="shared" ca="1" si="96"/>
        <v>68.488570149128464</v>
      </c>
      <c r="BV12">
        <f t="shared" ca="1" si="97"/>
        <v>72.422271781904612</v>
      </c>
      <c r="BW12">
        <f t="shared" ca="1" si="98"/>
        <v>73.21626418342008</v>
      </c>
      <c r="BX12">
        <f t="shared" ca="1" si="99"/>
        <v>54.52707604321575</v>
      </c>
      <c r="BY12">
        <f t="shared" ca="1" si="100"/>
        <v>74.287604790821419</v>
      </c>
      <c r="BZ12">
        <f t="shared" ca="1" si="101"/>
        <v>66.935663675129618</v>
      </c>
      <c r="CA12">
        <f t="shared" ca="1" si="102"/>
        <v>80.031986575593834</v>
      </c>
      <c r="CB12">
        <f t="shared" ca="1" si="103"/>
        <v>84.284749532460552</v>
      </c>
      <c r="CC12">
        <f t="shared" ca="1" si="104"/>
        <v>69.072562840110422</v>
      </c>
      <c r="CD12">
        <f t="shared" ca="1" si="70"/>
        <v>62.363038877833837</v>
      </c>
      <c r="CE12">
        <f t="shared" ca="1" si="71"/>
        <v>67.369035148731115</v>
      </c>
      <c r="CF12">
        <f t="shared" ca="1" si="72"/>
        <v>67.497065869710752</v>
      </c>
      <c r="CG12">
        <f t="shared" ca="1" si="73"/>
        <v>80.007032841002612</v>
      </c>
      <c r="CH12">
        <f t="shared" ca="1" si="74"/>
        <v>70.858683932626917</v>
      </c>
      <c r="CI12">
        <f t="shared" ca="1" si="75"/>
        <v>69.056962935562765</v>
      </c>
      <c r="CJ12">
        <f t="shared" ca="1" si="76"/>
        <v>66.71313034740993</v>
      </c>
      <c r="CK12">
        <f t="shared" ca="1" si="77"/>
        <v>66.366142090366495</v>
      </c>
      <c r="CL12">
        <f t="shared" ca="1" si="78"/>
        <v>65.029371783126521</v>
      </c>
      <c r="CM12">
        <f t="shared" ca="1" si="79"/>
        <v>72.669651686140924</v>
      </c>
      <c r="CN12">
        <f t="shared" ca="1" si="80"/>
        <v>73.364140379242201</v>
      </c>
      <c r="CO12">
        <f t="shared" ca="1" si="81"/>
        <v>69.11089231546076</v>
      </c>
      <c r="CP12">
        <f t="shared" ca="1" si="82"/>
        <v>58.621911073401314</v>
      </c>
      <c r="CQ12">
        <f t="shared" ca="1" si="83"/>
        <v>70.143544346527662</v>
      </c>
      <c r="CR12">
        <f t="shared" ca="1" si="84"/>
        <v>62.172885078112962</v>
      </c>
      <c r="CS12">
        <f t="shared" ca="1" si="85"/>
        <v>60.374714857232441</v>
      </c>
      <c r="CT12">
        <f t="shared" ca="1" si="86"/>
        <v>78.86141353244092</v>
      </c>
      <c r="CU12">
        <f t="shared" ca="1" si="87"/>
        <v>80.430240745828812</v>
      </c>
      <c r="CV12">
        <f t="shared" ca="1" si="88"/>
        <v>76.150884832959662</v>
      </c>
      <c r="CW12">
        <f t="shared" ca="1" si="89"/>
        <v>73.982269695883744</v>
      </c>
      <c r="CX12">
        <f t="shared" ca="1" si="90"/>
        <v>80.475123869739249</v>
      </c>
      <c r="CY12">
        <f t="shared" ca="1" si="91"/>
        <v>59.017102752210377</v>
      </c>
      <c r="CZ12">
        <f t="shared" ca="1" si="92"/>
        <v>71.709927554478313</v>
      </c>
      <c r="DA12">
        <f t="shared" ca="1" si="93"/>
        <v>70.533480288910539</v>
      </c>
      <c r="DB12">
        <f t="shared" ca="1" si="94"/>
        <v>89.769555985121016</v>
      </c>
    </row>
    <row r="13" spans="1:106" x14ac:dyDescent="0.2">
      <c r="A13" s="49">
        <v>44742</v>
      </c>
      <c r="B13" s="45">
        <v>31.533830597842684</v>
      </c>
      <c r="C13">
        <f t="shared" si="2"/>
        <v>-8.8774058388884861E-3</v>
      </c>
      <c r="F13">
        <v>11</v>
      </c>
      <c r="G13">
        <f t="shared" ca="1" si="5"/>
        <v>77.654573963101853</v>
      </c>
      <c r="H13">
        <f t="shared" ca="1" si="7"/>
        <v>73.146834353812309</v>
      </c>
      <c r="I13">
        <f t="shared" ca="1" si="8"/>
        <v>69.460173605996644</v>
      </c>
      <c r="J13">
        <f t="shared" ca="1" si="9"/>
        <v>78.265723748861433</v>
      </c>
      <c r="K13">
        <f t="shared" ca="1" si="10"/>
        <v>67.364503098650047</v>
      </c>
      <c r="L13">
        <f t="shared" ca="1" si="11"/>
        <v>77.586466649062643</v>
      </c>
      <c r="M13">
        <f t="shared" ca="1" si="12"/>
        <v>68.545623333835039</v>
      </c>
      <c r="N13">
        <f t="shared" ca="1" si="13"/>
        <v>75.261350605214119</v>
      </c>
      <c r="O13">
        <f t="shared" ca="1" si="14"/>
        <v>75.613105348310356</v>
      </c>
      <c r="P13">
        <f t="shared" ca="1" si="15"/>
        <v>72.393344834372812</v>
      </c>
      <c r="Q13">
        <f t="shared" ca="1" si="16"/>
        <v>71.338437425806291</v>
      </c>
      <c r="R13">
        <f t="shared" ca="1" si="17"/>
        <v>78.303993222901866</v>
      </c>
      <c r="S13">
        <f t="shared" ca="1" si="18"/>
        <v>69.031061455836195</v>
      </c>
      <c r="T13">
        <f t="shared" ca="1" si="19"/>
        <v>71.639464099443543</v>
      </c>
      <c r="U13">
        <f t="shared" ca="1" si="20"/>
        <v>69.093307946148499</v>
      </c>
      <c r="V13">
        <f t="shared" ca="1" si="21"/>
        <v>64.841892189337571</v>
      </c>
      <c r="W13">
        <f t="shared" ca="1" si="22"/>
        <v>74.783659762648867</v>
      </c>
      <c r="X13">
        <f t="shared" ca="1" si="23"/>
        <v>74.724871326887737</v>
      </c>
      <c r="Y13">
        <f t="shared" ca="1" si="24"/>
        <v>64.018536007014632</v>
      </c>
      <c r="Z13">
        <f t="shared" ca="1" si="25"/>
        <v>69.103395734167208</v>
      </c>
      <c r="AA13">
        <f t="shared" ca="1" si="26"/>
        <v>69.459532983001367</v>
      </c>
      <c r="AB13">
        <f t="shared" ca="1" si="27"/>
        <v>76.459356222988788</v>
      </c>
      <c r="AC13">
        <f t="shared" ca="1" si="28"/>
        <v>63.318017559309205</v>
      </c>
      <c r="AD13">
        <f t="shared" ca="1" si="29"/>
        <v>83.119143258799241</v>
      </c>
      <c r="AE13">
        <f t="shared" ca="1" si="30"/>
        <v>68.721181263807594</v>
      </c>
      <c r="AF13">
        <f t="shared" ca="1" si="31"/>
        <v>74.554733888162957</v>
      </c>
      <c r="AG13">
        <f t="shared" ca="1" si="32"/>
        <v>69.876090096392261</v>
      </c>
      <c r="AH13">
        <f t="shared" ca="1" si="33"/>
        <v>65.306279409691086</v>
      </c>
      <c r="AI13">
        <f t="shared" ca="1" si="34"/>
        <v>79.411700332959697</v>
      </c>
      <c r="AJ13">
        <f t="shared" ca="1" si="35"/>
        <v>64.140136565829494</v>
      </c>
      <c r="AK13">
        <f t="shared" ca="1" si="36"/>
        <v>76.232249534489839</v>
      </c>
      <c r="AL13">
        <f t="shared" ca="1" si="37"/>
        <v>62.915694244716335</v>
      </c>
      <c r="AM13">
        <f t="shared" ca="1" si="38"/>
        <v>89.084519540019315</v>
      </c>
      <c r="AN13">
        <f t="shared" ca="1" si="39"/>
        <v>76.671095279017479</v>
      </c>
      <c r="AO13">
        <f t="shared" ca="1" si="40"/>
        <v>74.167503946849379</v>
      </c>
      <c r="AP13">
        <f t="shared" ca="1" si="41"/>
        <v>89.25631137914803</v>
      </c>
      <c r="AQ13">
        <f t="shared" ca="1" si="42"/>
        <v>66.820010612551116</v>
      </c>
      <c r="AR13">
        <f t="shared" ca="1" si="43"/>
        <v>78.243099602067431</v>
      </c>
      <c r="AS13">
        <f t="shared" ca="1" si="44"/>
        <v>63.847760546599446</v>
      </c>
      <c r="AT13">
        <f t="shared" ca="1" si="45"/>
        <v>62.467026455242788</v>
      </c>
      <c r="AU13">
        <f t="shared" ca="1" si="46"/>
        <v>78.786982374478796</v>
      </c>
      <c r="AV13">
        <f t="shared" ca="1" si="47"/>
        <v>63.293507967669946</v>
      </c>
      <c r="AW13">
        <f t="shared" ca="1" si="48"/>
        <v>69.363956091249563</v>
      </c>
      <c r="AX13">
        <f t="shared" ca="1" si="49"/>
        <v>78.768243146290899</v>
      </c>
      <c r="AY13">
        <f t="shared" ca="1" si="50"/>
        <v>66.992480414834347</v>
      </c>
      <c r="AZ13">
        <f t="shared" ca="1" si="51"/>
        <v>66.749374260597449</v>
      </c>
      <c r="BA13">
        <f t="shared" ca="1" si="52"/>
        <v>74.228899798611764</v>
      </c>
      <c r="BB13">
        <f t="shared" ca="1" si="53"/>
        <v>67.542027204904699</v>
      </c>
      <c r="BC13">
        <f t="shared" ca="1" si="54"/>
        <v>76.096329805957211</v>
      </c>
      <c r="BD13">
        <f t="shared" ca="1" si="55"/>
        <v>68.843354992265176</v>
      </c>
      <c r="BE13">
        <f t="shared" ca="1" si="56"/>
        <v>72.979845042210613</v>
      </c>
      <c r="BF13">
        <f t="shared" ca="1" si="57"/>
        <v>63.237246272042455</v>
      </c>
      <c r="BG13">
        <f t="shared" ca="1" si="58"/>
        <v>76.835001091060477</v>
      </c>
      <c r="BH13">
        <f t="shared" ca="1" si="59"/>
        <v>70.649609004318108</v>
      </c>
      <c r="BI13">
        <f t="shared" ca="1" si="60"/>
        <v>63.851642342902991</v>
      </c>
      <c r="BJ13">
        <f t="shared" ca="1" si="61"/>
        <v>68.508333934738928</v>
      </c>
      <c r="BK13">
        <f t="shared" ca="1" si="62"/>
        <v>79.001548401508245</v>
      </c>
      <c r="BL13">
        <f t="shared" ca="1" si="63"/>
        <v>76.664045630227065</v>
      </c>
      <c r="BM13">
        <f t="shared" ca="1" si="64"/>
        <v>79.230448216853418</v>
      </c>
      <c r="BN13">
        <f t="shared" ca="1" si="65"/>
        <v>80.707467603884226</v>
      </c>
      <c r="BO13">
        <f t="shared" ca="1" si="66"/>
        <v>65.033889757301651</v>
      </c>
      <c r="BP13">
        <f t="shared" ca="1" si="67"/>
        <v>63.829632074349817</v>
      </c>
      <c r="BQ13">
        <f t="shared" ca="1" si="68"/>
        <v>64.096680807211939</v>
      </c>
      <c r="BR13">
        <f t="shared" ca="1" si="69"/>
        <v>69.586195209320778</v>
      </c>
      <c r="BS13">
        <f t="shared" ca="1" si="6"/>
        <v>84.921440225427389</v>
      </c>
      <c r="BT13">
        <f t="shared" ca="1" si="95"/>
        <v>71.291850897282032</v>
      </c>
      <c r="BU13">
        <f t="shared" ca="1" si="96"/>
        <v>64.883288633428236</v>
      </c>
      <c r="BV13">
        <f t="shared" ca="1" si="97"/>
        <v>74.058117561365734</v>
      </c>
      <c r="BW13">
        <f t="shared" ca="1" si="98"/>
        <v>74.125950778281464</v>
      </c>
      <c r="BX13">
        <f t="shared" ca="1" si="99"/>
        <v>55.371815211510942</v>
      </c>
      <c r="BY13">
        <f t="shared" ca="1" si="100"/>
        <v>74.023960766818661</v>
      </c>
      <c r="BZ13">
        <f t="shared" ca="1" si="101"/>
        <v>68.234561383650941</v>
      </c>
      <c r="CA13">
        <f t="shared" ca="1" si="102"/>
        <v>79.360776838122092</v>
      </c>
      <c r="CB13">
        <f t="shared" ca="1" si="103"/>
        <v>82.063176291774312</v>
      </c>
      <c r="CC13">
        <f t="shared" ca="1" si="104"/>
        <v>70.915911253909101</v>
      </c>
      <c r="CD13">
        <f t="shared" ca="1" si="70"/>
        <v>62.488880768170716</v>
      </c>
      <c r="CE13">
        <f t="shared" ca="1" si="71"/>
        <v>69.94135089389971</v>
      </c>
      <c r="CF13">
        <f t="shared" ca="1" si="72"/>
        <v>68.689439888828133</v>
      </c>
      <c r="CG13">
        <f t="shared" ca="1" si="73"/>
        <v>79.024755455978905</v>
      </c>
      <c r="CH13">
        <f t="shared" ca="1" si="74"/>
        <v>72.941313634568488</v>
      </c>
      <c r="CI13">
        <f t="shared" ca="1" si="75"/>
        <v>70.257478396833989</v>
      </c>
      <c r="CJ13">
        <f t="shared" ca="1" si="76"/>
        <v>65.131251108546692</v>
      </c>
      <c r="CK13">
        <f t="shared" ca="1" si="77"/>
        <v>67.526121638445417</v>
      </c>
      <c r="CL13">
        <f t="shared" ca="1" si="78"/>
        <v>67.690688119179839</v>
      </c>
      <c r="CM13">
        <f t="shared" ca="1" si="79"/>
        <v>76.525997308313691</v>
      </c>
      <c r="CN13">
        <f t="shared" ca="1" si="80"/>
        <v>73.1549095226529</v>
      </c>
      <c r="CO13">
        <f t="shared" ca="1" si="81"/>
        <v>65.644033913067034</v>
      </c>
      <c r="CP13">
        <f t="shared" ca="1" si="82"/>
        <v>64.010514191277082</v>
      </c>
      <c r="CQ13">
        <f t="shared" ca="1" si="83"/>
        <v>70.077102933551757</v>
      </c>
      <c r="CR13">
        <f t="shared" ca="1" si="84"/>
        <v>62.919055153398325</v>
      </c>
      <c r="CS13">
        <f t="shared" ca="1" si="85"/>
        <v>58.631078730274446</v>
      </c>
      <c r="CT13">
        <f t="shared" ca="1" si="86"/>
        <v>83.366756117865862</v>
      </c>
      <c r="CU13">
        <f t="shared" ca="1" si="87"/>
        <v>84.487723122664406</v>
      </c>
      <c r="CV13">
        <f t="shared" ca="1" si="88"/>
        <v>75.744016362453479</v>
      </c>
      <c r="CW13">
        <f t="shared" ca="1" si="89"/>
        <v>75.063752848260251</v>
      </c>
      <c r="CX13">
        <f t="shared" ca="1" si="90"/>
        <v>85.81771108646879</v>
      </c>
      <c r="CY13">
        <f t="shared" ca="1" si="91"/>
        <v>60.715608458662402</v>
      </c>
      <c r="CZ13">
        <f t="shared" ca="1" si="92"/>
        <v>73.660562843671428</v>
      </c>
      <c r="DA13">
        <f t="shared" ca="1" si="93"/>
        <v>73.466254709144522</v>
      </c>
      <c r="DB13">
        <f t="shared" ca="1" si="94"/>
        <v>88.276305594708077</v>
      </c>
    </row>
    <row r="14" spans="1:106" x14ac:dyDescent="0.2">
      <c r="A14" s="49">
        <v>44771</v>
      </c>
      <c r="B14" s="45">
        <v>30.097764988934795</v>
      </c>
      <c r="C14">
        <f t="shared" si="2"/>
        <v>-4.6610040614356502E-2</v>
      </c>
      <c r="F14">
        <v>12</v>
      </c>
      <c r="G14">
        <f t="shared" ca="1" si="5"/>
        <v>78.399762739744617</v>
      </c>
      <c r="H14">
        <f t="shared" ca="1" si="7"/>
        <v>78.584250619387888</v>
      </c>
      <c r="I14">
        <f t="shared" ca="1" si="8"/>
        <v>68.883775052518416</v>
      </c>
      <c r="J14">
        <f t="shared" ca="1" si="9"/>
        <v>81.639834077604775</v>
      </c>
      <c r="K14">
        <f t="shared" ca="1" si="10"/>
        <v>69.376457252468043</v>
      </c>
      <c r="L14">
        <f t="shared" ca="1" si="11"/>
        <v>81.136128270518086</v>
      </c>
      <c r="M14">
        <f t="shared" ca="1" si="12"/>
        <v>68.900289796632435</v>
      </c>
      <c r="N14">
        <f t="shared" ca="1" si="13"/>
        <v>74.055619401919643</v>
      </c>
      <c r="O14">
        <f t="shared" ca="1" si="14"/>
        <v>76.067418269647831</v>
      </c>
      <c r="P14">
        <f t="shared" ca="1" si="15"/>
        <v>72.084596629499671</v>
      </c>
      <c r="Q14">
        <f t="shared" ca="1" si="16"/>
        <v>73.645774557506044</v>
      </c>
      <c r="R14">
        <f t="shared" ca="1" si="17"/>
        <v>79.695087313602684</v>
      </c>
      <c r="S14">
        <f t="shared" ca="1" si="18"/>
        <v>71.488149355468423</v>
      </c>
      <c r="T14">
        <f t="shared" ca="1" si="19"/>
        <v>70.079506604574377</v>
      </c>
      <c r="U14">
        <f t="shared" ca="1" si="20"/>
        <v>71.545994893385654</v>
      </c>
      <c r="V14">
        <f t="shared" ca="1" si="21"/>
        <v>61.591775038886823</v>
      </c>
      <c r="W14">
        <f t="shared" ca="1" si="22"/>
        <v>73.196541375518649</v>
      </c>
      <c r="X14">
        <f t="shared" ca="1" si="23"/>
        <v>74.633897379122288</v>
      </c>
      <c r="Y14">
        <f t="shared" ca="1" si="24"/>
        <v>62.829267448416502</v>
      </c>
      <c r="Z14">
        <f t="shared" ca="1" si="25"/>
        <v>68.259764122758398</v>
      </c>
      <c r="AA14">
        <f t="shared" ca="1" si="26"/>
        <v>68.928301507577714</v>
      </c>
      <c r="AB14">
        <f t="shared" ca="1" si="27"/>
        <v>77.206905980327093</v>
      </c>
      <c r="AC14">
        <f t="shared" ca="1" si="28"/>
        <v>63.532405133498145</v>
      </c>
      <c r="AD14">
        <f t="shared" ca="1" si="29"/>
        <v>82.649914199662391</v>
      </c>
      <c r="AE14">
        <f t="shared" ca="1" si="30"/>
        <v>71.50913777028029</v>
      </c>
      <c r="AF14">
        <f t="shared" ca="1" si="31"/>
        <v>74.9511638097147</v>
      </c>
      <c r="AG14">
        <f t="shared" ca="1" si="32"/>
        <v>68.040795376947131</v>
      </c>
      <c r="AH14">
        <f t="shared" ca="1" si="33"/>
        <v>66.018993161310433</v>
      </c>
      <c r="AI14">
        <f t="shared" ca="1" si="34"/>
        <v>75.026573542385989</v>
      </c>
      <c r="AJ14">
        <f t="shared" ca="1" si="35"/>
        <v>65.551649437410731</v>
      </c>
      <c r="AK14">
        <f t="shared" ca="1" si="36"/>
        <v>76.353701250730794</v>
      </c>
      <c r="AL14">
        <f t="shared" ca="1" si="37"/>
        <v>68.137360438707248</v>
      </c>
      <c r="AM14">
        <f t="shared" ca="1" si="38"/>
        <v>94.436081789870386</v>
      </c>
      <c r="AN14">
        <f t="shared" ca="1" si="39"/>
        <v>79.733471097239615</v>
      </c>
      <c r="AO14">
        <f t="shared" ca="1" si="40"/>
        <v>75.507479113307156</v>
      </c>
      <c r="AP14">
        <f t="shared" ca="1" si="41"/>
        <v>93.208400688002797</v>
      </c>
      <c r="AQ14">
        <f t="shared" ca="1" si="42"/>
        <v>68.668336062453818</v>
      </c>
      <c r="AR14">
        <f t="shared" ca="1" si="43"/>
        <v>78.264140370460836</v>
      </c>
      <c r="AS14">
        <f t="shared" ca="1" si="44"/>
        <v>65.145638373244481</v>
      </c>
      <c r="AT14">
        <f t="shared" ca="1" si="45"/>
        <v>63.134641621410076</v>
      </c>
      <c r="AU14">
        <f t="shared" ca="1" si="46"/>
        <v>79.342354789242535</v>
      </c>
      <c r="AV14">
        <f t="shared" ca="1" si="47"/>
        <v>62.665887493722281</v>
      </c>
      <c r="AW14">
        <f t="shared" ca="1" si="48"/>
        <v>71.220228836391271</v>
      </c>
      <c r="AX14">
        <f t="shared" ca="1" si="49"/>
        <v>79.616397076534426</v>
      </c>
      <c r="AY14">
        <f t="shared" ca="1" si="50"/>
        <v>66.475351228413231</v>
      </c>
      <c r="AZ14">
        <f t="shared" ca="1" si="51"/>
        <v>65.372001283831267</v>
      </c>
      <c r="BA14">
        <f t="shared" ca="1" si="52"/>
        <v>78.671206439334028</v>
      </c>
      <c r="BB14">
        <f t="shared" ca="1" si="53"/>
        <v>68.954555751133043</v>
      </c>
      <c r="BC14">
        <f t="shared" ca="1" si="54"/>
        <v>79.242057469028694</v>
      </c>
      <c r="BD14">
        <f t="shared" ca="1" si="55"/>
        <v>70.883099438584509</v>
      </c>
      <c r="BE14">
        <f t="shared" ca="1" si="56"/>
        <v>74.950469406326022</v>
      </c>
      <c r="BF14">
        <f t="shared" ca="1" si="57"/>
        <v>65.93816191732644</v>
      </c>
      <c r="BG14">
        <f t="shared" ca="1" si="58"/>
        <v>81.942337189599087</v>
      </c>
      <c r="BH14">
        <f t="shared" ca="1" si="59"/>
        <v>72.806220736700027</v>
      </c>
      <c r="BI14">
        <f t="shared" ca="1" si="60"/>
        <v>62.639677156679809</v>
      </c>
      <c r="BJ14">
        <f t="shared" ca="1" si="61"/>
        <v>70.083997316935651</v>
      </c>
      <c r="BK14">
        <f t="shared" ca="1" si="62"/>
        <v>80.919883181285144</v>
      </c>
      <c r="BL14">
        <f t="shared" ca="1" si="63"/>
        <v>80.835165014220436</v>
      </c>
      <c r="BM14">
        <f t="shared" ca="1" si="64"/>
        <v>76.548502836921969</v>
      </c>
      <c r="BN14">
        <f t="shared" ca="1" si="65"/>
        <v>82.256243363648736</v>
      </c>
      <c r="BO14">
        <f t="shared" ca="1" si="66"/>
        <v>65.221342669495115</v>
      </c>
      <c r="BP14">
        <f t="shared" ca="1" si="67"/>
        <v>65.563632536305363</v>
      </c>
      <c r="BQ14">
        <f t="shared" ca="1" si="68"/>
        <v>66.124957397328004</v>
      </c>
      <c r="BR14">
        <f t="shared" ca="1" si="69"/>
        <v>67.359317164205166</v>
      </c>
      <c r="BS14">
        <f t="shared" ca="1" si="6"/>
        <v>81.261195356341034</v>
      </c>
      <c r="BT14">
        <f t="shared" ca="1" si="95"/>
        <v>71.43422551073391</v>
      </c>
      <c r="BU14">
        <f t="shared" ca="1" si="96"/>
        <v>66.08120885040492</v>
      </c>
      <c r="BV14">
        <f t="shared" ca="1" si="97"/>
        <v>77.67722378647845</v>
      </c>
      <c r="BW14">
        <f t="shared" ca="1" si="98"/>
        <v>77.281020703410661</v>
      </c>
      <c r="BX14">
        <f t="shared" ca="1" si="99"/>
        <v>57.963315779349749</v>
      </c>
      <c r="BY14">
        <f t="shared" ca="1" si="100"/>
        <v>71.112072665620545</v>
      </c>
      <c r="BZ14">
        <f t="shared" ca="1" si="101"/>
        <v>69.920703924479696</v>
      </c>
      <c r="CA14">
        <f t="shared" ca="1" si="102"/>
        <v>79.687396571556164</v>
      </c>
      <c r="CB14">
        <f t="shared" ca="1" si="103"/>
        <v>83.760357729908947</v>
      </c>
      <c r="CC14">
        <f t="shared" ca="1" si="104"/>
        <v>72.45756554298876</v>
      </c>
      <c r="CD14">
        <f t="shared" ca="1" si="70"/>
        <v>60.864197237681346</v>
      </c>
      <c r="CE14">
        <f t="shared" ca="1" si="71"/>
        <v>71.608890235297665</v>
      </c>
      <c r="CF14">
        <f t="shared" ca="1" si="72"/>
        <v>71.410493760515308</v>
      </c>
      <c r="CG14">
        <f t="shared" ca="1" si="73"/>
        <v>80.341505034730261</v>
      </c>
      <c r="CH14">
        <f t="shared" ca="1" si="74"/>
        <v>73.88289408896739</v>
      </c>
      <c r="CI14">
        <f t="shared" ca="1" si="75"/>
        <v>72.520519426537973</v>
      </c>
      <c r="CJ14">
        <f t="shared" ca="1" si="76"/>
        <v>64.066423304944564</v>
      </c>
      <c r="CK14">
        <f t="shared" ca="1" si="77"/>
        <v>68.616681290142822</v>
      </c>
      <c r="CL14">
        <f t="shared" ca="1" si="78"/>
        <v>68.977526907147364</v>
      </c>
      <c r="CM14">
        <f t="shared" ca="1" si="79"/>
        <v>78.111463138035646</v>
      </c>
      <c r="CN14">
        <f t="shared" ca="1" si="80"/>
        <v>75.561240447754884</v>
      </c>
      <c r="CO14">
        <f t="shared" ca="1" si="81"/>
        <v>70.539353132607175</v>
      </c>
      <c r="CP14">
        <f t="shared" ca="1" si="82"/>
        <v>65.959383004659628</v>
      </c>
      <c r="CQ14">
        <f t="shared" ca="1" si="83"/>
        <v>69.606834379764749</v>
      </c>
      <c r="CR14">
        <f t="shared" ca="1" si="84"/>
        <v>63.212230114535672</v>
      </c>
      <c r="CS14">
        <f t="shared" ca="1" si="85"/>
        <v>59.31887376372238</v>
      </c>
      <c r="CT14">
        <f t="shared" ca="1" si="86"/>
        <v>86.107924638023391</v>
      </c>
      <c r="CU14">
        <f t="shared" ca="1" si="87"/>
        <v>85.724929157622185</v>
      </c>
      <c r="CV14">
        <f t="shared" ca="1" si="88"/>
        <v>75.98126766822881</v>
      </c>
      <c r="CW14">
        <f t="shared" ca="1" si="89"/>
        <v>75.56835175009472</v>
      </c>
      <c r="CX14">
        <f t="shared" ca="1" si="90"/>
        <v>90.991994837459586</v>
      </c>
      <c r="CY14">
        <f t="shared" ca="1" si="91"/>
        <v>61.884448129228979</v>
      </c>
      <c r="CZ14">
        <f t="shared" ca="1" si="92"/>
        <v>76.45593259968274</v>
      </c>
      <c r="DA14">
        <f t="shared" ca="1" si="93"/>
        <v>74.002402422977013</v>
      </c>
      <c r="DB14">
        <f t="shared" ca="1" si="94"/>
        <v>89.605355613771536</v>
      </c>
    </row>
    <row r="15" spans="1:106" x14ac:dyDescent="0.2">
      <c r="A15" s="49">
        <v>44804</v>
      </c>
      <c r="B15" s="45">
        <v>30.541310999298044</v>
      </c>
      <c r="C15">
        <f t="shared" si="2"/>
        <v>1.4629310015959096E-2</v>
      </c>
    </row>
    <row r="16" spans="1:106" x14ac:dyDescent="0.2">
      <c r="A16" s="49">
        <v>44834</v>
      </c>
      <c r="B16" s="45">
        <v>30.057308663012204</v>
      </c>
      <c r="C16">
        <f t="shared" si="2"/>
        <v>-1.5974378006604787E-2</v>
      </c>
      <c r="G16" t="s">
        <v>341</v>
      </c>
      <c r="I16">
        <f ca="1">AVERAGE(G2:DB14)</f>
        <v>66.969110082053405</v>
      </c>
    </row>
    <row r="17" spans="1:9" x14ac:dyDescent="0.2">
      <c r="A17" s="49">
        <v>44865</v>
      </c>
      <c r="B17" s="45">
        <v>30.540641192577471</v>
      </c>
      <c r="C17">
        <f t="shared" si="2"/>
        <v>1.5952446594900811E-2</v>
      </c>
      <c r="G17" t="s">
        <v>342</v>
      </c>
      <c r="I17">
        <f ca="1">MIN(G2:DB14)</f>
        <v>54.52707604321575</v>
      </c>
    </row>
    <row r="18" spans="1:9" x14ac:dyDescent="0.2">
      <c r="A18" s="49">
        <v>44895</v>
      </c>
      <c r="B18" s="45">
        <v>31.079433718606161</v>
      </c>
      <c r="C18">
        <f t="shared" si="2"/>
        <v>1.7488010468495425E-2</v>
      </c>
      <c r="G18" t="s">
        <v>343</v>
      </c>
      <c r="I18">
        <f ca="1">MAX(G2:DB14)</f>
        <v>94.436081789870386</v>
      </c>
    </row>
    <row r="19" spans="1:9" x14ac:dyDescent="0.2">
      <c r="A19" s="49">
        <v>44925</v>
      </c>
      <c r="B19" s="45">
        <v>32.726086560462107</v>
      </c>
      <c r="C19">
        <f t="shared" si="2"/>
        <v>5.1626208797684509E-2</v>
      </c>
      <c r="G19" t="s">
        <v>344</v>
      </c>
      <c r="I19">
        <f ca="1">_xlfn.STDEV.P(G2:DB14)</f>
        <v>6.1139601546244942</v>
      </c>
    </row>
    <row r="20" spans="1:9" x14ac:dyDescent="0.2">
      <c r="A20" s="49">
        <v>44957</v>
      </c>
      <c r="B20" s="45">
        <v>34.127858065276683</v>
      </c>
      <c r="C20">
        <f t="shared" si="2"/>
        <v>4.1941488817596337E-2</v>
      </c>
      <c r="G20" t="s">
        <v>345</v>
      </c>
      <c r="I20">
        <f ca="1">_xlfn.PERCENTILE.INC(G2:DB14, 0.05)</f>
        <v>59.790894106802945</v>
      </c>
    </row>
    <row r="21" spans="1:9" x14ac:dyDescent="0.2">
      <c r="A21" s="49">
        <v>44985</v>
      </c>
      <c r="B21" s="45">
        <v>33.415585598619664</v>
      </c>
      <c r="C21">
        <f t="shared" si="2"/>
        <v>-2.1091576994914804E-2</v>
      </c>
      <c r="G21" t="s">
        <v>346</v>
      </c>
      <c r="I21">
        <f ca="1">_xlfn.PERCENTILE.INC(G2:DB14,0.95)</f>
        <v>78.769180107700294</v>
      </c>
    </row>
    <row r="22" spans="1:9" x14ac:dyDescent="0.2">
      <c r="A22" s="49">
        <v>45016</v>
      </c>
      <c r="B22" s="45">
        <v>35.051655494290571</v>
      </c>
      <c r="C22">
        <f t="shared" si="2"/>
        <v>4.7800418895499262E-2</v>
      </c>
    </row>
    <row r="23" spans="1:9" x14ac:dyDescent="0.2">
      <c r="A23" s="49">
        <v>45044</v>
      </c>
      <c r="B23" s="45">
        <v>36.128168855595028</v>
      </c>
      <c r="C23">
        <f t="shared" si="2"/>
        <v>3.025001704425825E-2</v>
      </c>
    </row>
    <row r="24" spans="1:9" x14ac:dyDescent="0.2">
      <c r="A24" s="49">
        <v>45077</v>
      </c>
      <c r="B24" s="45">
        <v>36.050337314664475</v>
      </c>
      <c r="C24">
        <f t="shared" si="2"/>
        <v>-2.1566412281745751E-3</v>
      </c>
    </row>
    <row r="25" spans="1:9" x14ac:dyDescent="0.2">
      <c r="A25" s="49">
        <v>45107</v>
      </c>
      <c r="B25" s="45">
        <v>34.570198423542905</v>
      </c>
      <c r="C25">
        <f t="shared" si="2"/>
        <v>-4.1924226865131073E-2</v>
      </c>
    </row>
    <row r="26" spans="1:9" x14ac:dyDescent="0.2">
      <c r="A26" s="49">
        <v>45138</v>
      </c>
      <c r="B26" s="45">
        <v>34.499332872506315</v>
      </c>
      <c r="C26">
        <f t="shared" si="2"/>
        <v>-2.0520068566604946E-3</v>
      </c>
    </row>
    <row r="27" spans="1:9" x14ac:dyDescent="0.2">
      <c r="A27" s="49">
        <v>45169</v>
      </c>
      <c r="B27" s="45">
        <v>34.651780882108653</v>
      </c>
      <c r="C27">
        <f t="shared" si="2"/>
        <v>4.4091338026703581E-3</v>
      </c>
    </row>
    <row r="28" spans="1:9" x14ac:dyDescent="0.2">
      <c r="A28" s="49">
        <v>45198</v>
      </c>
      <c r="B28" s="45">
        <v>34.764174449820764</v>
      </c>
      <c r="C28">
        <f t="shared" si="2"/>
        <v>3.2382660554432043E-3</v>
      </c>
    </row>
    <row r="29" spans="1:9" x14ac:dyDescent="0.2">
      <c r="A29" s="49">
        <v>45230</v>
      </c>
      <c r="B29" s="45">
        <v>35.138462445276794</v>
      </c>
      <c r="C29">
        <f t="shared" si="2"/>
        <v>1.0708940007514801E-2</v>
      </c>
    </row>
    <row r="30" spans="1:9" x14ac:dyDescent="0.2">
      <c r="A30" s="49">
        <v>45260</v>
      </c>
      <c r="B30" s="45">
        <v>36.461464679752012</v>
      </c>
      <c r="C30">
        <f t="shared" si="2"/>
        <v>3.6959613993209725E-2</v>
      </c>
    </row>
    <row r="31" spans="1:9" x14ac:dyDescent="0.2">
      <c r="A31" s="49">
        <v>45289</v>
      </c>
      <c r="B31" s="45">
        <v>36.568901677731873</v>
      </c>
      <c r="C31">
        <f t="shared" si="2"/>
        <v>2.9422576071905723E-3</v>
      </c>
    </row>
    <row r="32" spans="1:9" x14ac:dyDescent="0.2">
      <c r="A32" s="49">
        <v>45322</v>
      </c>
      <c r="B32" s="45">
        <v>36.584173270960932</v>
      </c>
      <c r="C32">
        <f t="shared" si="2"/>
        <v>4.1752430671239849E-4</v>
      </c>
    </row>
    <row r="33" spans="1:3" x14ac:dyDescent="0.2">
      <c r="A33" s="49">
        <v>45351</v>
      </c>
      <c r="B33" s="45">
        <v>36.588326072628483</v>
      </c>
      <c r="C33">
        <f t="shared" si="2"/>
        <v>1.1350717029664682E-4</v>
      </c>
    </row>
    <row r="34" spans="1:3" x14ac:dyDescent="0.2">
      <c r="A34" s="49">
        <v>45380</v>
      </c>
      <c r="B34" s="45">
        <v>39.13680668306354</v>
      </c>
      <c r="C34">
        <f t="shared" si="2"/>
        <v>6.733414183006306E-2</v>
      </c>
    </row>
    <row r="35" spans="1:3" x14ac:dyDescent="0.2">
      <c r="A35" s="49">
        <v>45412</v>
      </c>
      <c r="B35" s="45">
        <v>42.802524903413868</v>
      </c>
      <c r="C35">
        <f t="shared" si="2"/>
        <v>8.9533722323496032E-2</v>
      </c>
    </row>
    <row r="36" spans="1:3" x14ac:dyDescent="0.2">
      <c r="A36" s="49">
        <v>45443</v>
      </c>
      <c r="B36" s="45">
        <v>43.069241939545925</v>
      </c>
      <c r="C36">
        <f t="shared" si="2"/>
        <v>6.2120043323328272E-3</v>
      </c>
    </row>
    <row r="37" spans="1:3" x14ac:dyDescent="0.2">
      <c r="A37" s="49">
        <v>45471</v>
      </c>
      <c r="B37" s="45">
        <v>42.711699112104213</v>
      </c>
      <c r="C37">
        <f t="shared" si="2"/>
        <v>-8.3362316526029295E-3</v>
      </c>
    </row>
    <row r="38" spans="1:3" x14ac:dyDescent="0.2">
      <c r="A38" s="49">
        <v>45504</v>
      </c>
      <c r="B38" s="45">
        <v>43.996790286195015</v>
      </c>
      <c r="C38">
        <f t="shared" si="2"/>
        <v>2.9643816618525422E-2</v>
      </c>
    </row>
    <row r="39" spans="1:3" x14ac:dyDescent="0.2">
      <c r="A39" s="49">
        <v>45534</v>
      </c>
      <c r="B39" s="45">
        <v>45.180472722791116</v>
      </c>
      <c r="C39">
        <f t="shared" si="2"/>
        <v>2.6548290867237846E-2</v>
      </c>
    </row>
    <row r="40" spans="1:3" x14ac:dyDescent="0.2">
      <c r="A40" s="49">
        <v>45565</v>
      </c>
      <c r="B40" s="45">
        <v>46.57112543604417</v>
      </c>
      <c r="C40">
        <f t="shared" si="2"/>
        <v>3.0315749164575051E-2</v>
      </c>
    </row>
    <row r="41" spans="1:3" x14ac:dyDescent="0.2">
      <c r="A41" s="49">
        <v>45596</v>
      </c>
      <c r="B41" s="45">
        <v>49.585657562653715</v>
      </c>
      <c r="C41">
        <f t="shared" si="2"/>
        <v>6.2720906623991088E-2</v>
      </c>
    </row>
    <row r="42" spans="1:3" x14ac:dyDescent="0.2">
      <c r="A42" s="49">
        <v>45625</v>
      </c>
      <c r="B42" s="45">
        <v>49.607091377712045</v>
      </c>
      <c r="C42">
        <f t="shared" si="2"/>
        <v>4.3216496409040545E-4</v>
      </c>
    </row>
    <row r="43" spans="1:3" x14ac:dyDescent="0.2">
      <c r="A43" s="49">
        <v>45657</v>
      </c>
      <c r="B43" s="45">
        <v>50.381789830726447</v>
      </c>
      <c r="C43">
        <f t="shared" si="2"/>
        <v>1.5496002069389095E-2</v>
      </c>
    </row>
    <row r="44" spans="1:3" x14ac:dyDescent="0.2">
      <c r="A44" s="49">
        <v>45688</v>
      </c>
      <c r="B44" s="45">
        <v>52.214381018213381</v>
      </c>
      <c r="C44">
        <f t="shared" si="2"/>
        <v>3.5728158473390281E-2</v>
      </c>
    </row>
    <row r="45" spans="1:3" x14ac:dyDescent="0.2">
      <c r="A45" s="49">
        <v>45716</v>
      </c>
      <c r="B45" s="45">
        <v>55.417128833303863</v>
      </c>
      <c r="C45">
        <f t="shared" si="2"/>
        <v>5.9530775303094863E-2</v>
      </c>
    </row>
    <row r="46" spans="1:3" x14ac:dyDescent="0.2">
      <c r="A46" s="49">
        <v>45747</v>
      </c>
      <c r="B46" s="45">
        <v>57.397479383349143</v>
      </c>
      <c r="C46">
        <f t="shared" si="2"/>
        <v>3.5111658497068224E-2</v>
      </c>
    </row>
    <row r="47" spans="1:3" x14ac:dyDescent="0.2">
      <c r="A47" s="49">
        <v>45777</v>
      </c>
      <c r="B47" s="45">
        <v>60.126271962962363</v>
      </c>
      <c r="C47">
        <f t="shared" si="2"/>
        <v>4.6446494332062167E-2</v>
      </c>
    </row>
    <row r="48" spans="1:3" x14ac:dyDescent="0.2">
      <c r="A48" s="49">
        <v>45807</v>
      </c>
      <c r="B48" s="45">
        <v>60.907668483182491</v>
      </c>
      <c r="C48">
        <f t="shared" si="2"/>
        <v>1.2912202541466347E-2</v>
      </c>
    </row>
    <row r="49" spans="1:3" x14ac:dyDescent="0.2">
      <c r="A49" s="49">
        <v>45838</v>
      </c>
      <c r="B49" s="45">
        <v>61.393546278285946</v>
      </c>
      <c r="C49">
        <f t="shared" si="2"/>
        <v>7.9456341017719659E-3</v>
      </c>
    </row>
    <row r="51" spans="1:3" x14ac:dyDescent="0.2">
      <c r="A51" s="48" t="s">
        <v>235</v>
      </c>
      <c r="B51">
        <f>AVERAGE(C3:C49)</f>
        <v>1.5012453235172894E-2</v>
      </c>
    </row>
    <row r="52" spans="1:3" x14ac:dyDescent="0.2">
      <c r="A52" s="48" t="s">
        <v>236</v>
      </c>
      <c r="B52">
        <f>_xlfn.STDEV.P(C3:C49)</f>
        <v>2.8088621677794759E-2</v>
      </c>
    </row>
    <row r="54" spans="1:3" x14ac:dyDescent="0.2">
      <c r="A54" s="49" t="s">
        <v>237</v>
      </c>
      <c r="B54" s="45">
        <f>B49</f>
        <v>61.393546278285946</v>
      </c>
    </row>
    <row r="55" spans="1:3" x14ac:dyDescent="0.2">
      <c r="A55" s="49" t="s">
        <v>238</v>
      </c>
      <c r="B55" s="45">
        <v>12</v>
      </c>
    </row>
    <row r="56" spans="1:3" x14ac:dyDescent="0.2">
      <c r="A56" s="49" t="s">
        <v>239</v>
      </c>
      <c r="B56" s="45">
        <v>100</v>
      </c>
    </row>
  </sheetData>
  <phoneticPr fontId="10"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AFCAA-4C04-4947-BCF8-A4118838A35F}">
  <dimension ref="A1:CW101"/>
  <sheetViews>
    <sheetView workbookViewId="0">
      <selection activeCell="B16" sqref="B16"/>
    </sheetView>
  </sheetViews>
  <sheetFormatPr baseColWidth="10" defaultRowHeight="16" x14ac:dyDescent="0.2"/>
  <cols>
    <col min="1" max="1" width="16.33203125" customWidth="1"/>
    <col min="4" max="4" width="11" customWidth="1"/>
  </cols>
  <sheetData>
    <row r="1" spans="1:101" x14ac:dyDescent="0.2">
      <c r="A1" s="32" t="s">
        <v>356</v>
      </c>
      <c r="B1" s="32">
        <v>1</v>
      </c>
      <c r="C1" s="32">
        <v>2</v>
      </c>
      <c r="D1" s="32">
        <v>3</v>
      </c>
      <c r="E1" s="32">
        <v>4</v>
      </c>
      <c r="F1" s="32">
        <v>5</v>
      </c>
      <c r="G1" s="32">
        <v>6</v>
      </c>
      <c r="H1" s="32">
        <v>7</v>
      </c>
      <c r="I1" s="32">
        <v>8</v>
      </c>
      <c r="J1" s="32">
        <v>9</v>
      </c>
      <c r="K1" s="32">
        <v>10</v>
      </c>
      <c r="L1" s="32">
        <v>11</v>
      </c>
      <c r="M1" s="32">
        <v>12</v>
      </c>
      <c r="N1" s="32">
        <v>13</v>
      </c>
      <c r="O1" s="32">
        <v>14</v>
      </c>
      <c r="P1" s="32">
        <v>15</v>
      </c>
      <c r="Q1" s="32">
        <v>16</v>
      </c>
      <c r="R1" s="32">
        <v>17</v>
      </c>
      <c r="S1" s="32">
        <v>18</v>
      </c>
      <c r="T1" s="32">
        <v>19</v>
      </c>
      <c r="U1" s="32">
        <v>20</v>
      </c>
      <c r="V1" s="32">
        <v>21</v>
      </c>
      <c r="W1" s="32">
        <v>22</v>
      </c>
      <c r="X1" s="32">
        <v>23</v>
      </c>
      <c r="Y1" s="32">
        <v>24</v>
      </c>
      <c r="Z1" s="32">
        <v>25</v>
      </c>
      <c r="AA1" s="32">
        <v>26</v>
      </c>
      <c r="AB1" s="32">
        <v>27</v>
      </c>
      <c r="AC1" s="32">
        <v>28</v>
      </c>
      <c r="AD1" s="32">
        <v>29</v>
      </c>
      <c r="AE1" s="32">
        <v>30</v>
      </c>
      <c r="AF1" s="32">
        <v>31</v>
      </c>
      <c r="AG1" s="32">
        <v>32</v>
      </c>
      <c r="AH1" s="32">
        <v>33</v>
      </c>
      <c r="AI1" s="32">
        <v>34</v>
      </c>
      <c r="AJ1" s="32">
        <v>35</v>
      </c>
      <c r="AK1" s="32">
        <v>36</v>
      </c>
      <c r="AL1" s="32">
        <v>37</v>
      </c>
      <c r="AM1" s="32">
        <v>38</v>
      </c>
      <c r="AN1" s="32">
        <v>39</v>
      </c>
      <c r="AO1" s="32">
        <v>40</v>
      </c>
      <c r="AP1" s="32">
        <v>41</v>
      </c>
      <c r="AQ1" s="32">
        <v>42</v>
      </c>
      <c r="AR1" s="32">
        <v>43</v>
      </c>
      <c r="AS1" s="32">
        <v>44</v>
      </c>
      <c r="AT1" s="32">
        <v>45</v>
      </c>
      <c r="AU1" s="32">
        <v>46</v>
      </c>
      <c r="AV1" s="32">
        <v>47</v>
      </c>
      <c r="AW1" s="32">
        <v>48</v>
      </c>
      <c r="AX1" s="32">
        <v>49</v>
      </c>
      <c r="AY1" s="32">
        <v>50</v>
      </c>
      <c r="AZ1" s="32">
        <v>51</v>
      </c>
      <c r="BA1" s="32">
        <v>52</v>
      </c>
      <c r="BB1" s="32">
        <v>53</v>
      </c>
      <c r="BC1" s="32">
        <v>54</v>
      </c>
      <c r="BD1" s="32">
        <v>55</v>
      </c>
      <c r="BE1" s="32">
        <v>56</v>
      </c>
      <c r="BF1" s="32">
        <v>57</v>
      </c>
      <c r="BG1" s="32">
        <v>58</v>
      </c>
      <c r="BH1" s="32">
        <v>59</v>
      </c>
      <c r="BI1" s="32">
        <v>60</v>
      </c>
      <c r="BJ1" s="32">
        <v>61</v>
      </c>
      <c r="BK1" s="32">
        <v>62</v>
      </c>
      <c r="BL1" s="32">
        <v>63</v>
      </c>
      <c r="BM1" s="32">
        <v>64</v>
      </c>
      <c r="BN1" s="32">
        <v>65</v>
      </c>
      <c r="BO1" s="32">
        <v>66</v>
      </c>
      <c r="BP1" s="32">
        <v>67</v>
      </c>
      <c r="BQ1" s="32">
        <v>68</v>
      </c>
      <c r="BR1" s="32">
        <v>69</v>
      </c>
      <c r="BS1" s="32">
        <v>70</v>
      </c>
      <c r="BT1" s="32">
        <v>71</v>
      </c>
      <c r="BU1" s="32">
        <v>72</v>
      </c>
      <c r="BV1" s="32">
        <v>73</v>
      </c>
      <c r="BW1" s="32">
        <v>74</v>
      </c>
      <c r="BX1" s="32">
        <v>75</v>
      </c>
      <c r="BY1" s="32">
        <v>76</v>
      </c>
      <c r="BZ1" s="32">
        <v>77</v>
      </c>
      <c r="CA1" s="32">
        <v>78</v>
      </c>
      <c r="CB1" s="32">
        <v>79</v>
      </c>
      <c r="CC1" s="32">
        <v>80</v>
      </c>
      <c r="CD1" s="32">
        <v>81</v>
      </c>
      <c r="CE1" s="32">
        <v>82</v>
      </c>
      <c r="CF1" s="32">
        <v>83</v>
      </c>
      <c r="CG1" s="32">
        <v>84</v>
      </c>
      <c r="CH1" s="32">
        <v>85</v>
      </c>
      <c r="CI1" s="32">
        <v>86</v>
      </c>
      <c r="CJ1" s="32">
        <v>87</v>
      </c>
      <c r="CK1" s="32">
        <v>88</v>
      </c>
      <c r="CL1" s="32">
        <v>89</v>
      </c>
      <c r="CM1" s="32">
        <v>90</v>
      </c>
      <c r="CN1" s="32">
        <v>91</v>
      </c>
      <c r="CO1" s="32">
        <v>92</v>
      </c>
      <c r="CP1" s="32">
        <v>93</v>
      </c>
      <c r="CQ1" s="32">
        <v>94</v>
      </c>
      <c r="CR1" s="32">
        <v>95</v>
      </c>
      <c r="CS1" s="32">
        <v>96</v>
      </c>
      <c r="CT1" s="32">
        <v>97</v>
      </c>
      <c r="CU1" s="32">
        <v>98</v>
      </c>
      <c r="CV1" s="32">
        <v>99</v>
      </c>
      <c r="CW1" s="32">
        <v>100</v>
      </c>
    </row>
    <row r="2" spans="1:101" x14ac:dyDescent="0.2">
      <c r="A2" s="32" t="s">
        <v>359</v>
      </c>
      <c r="B2">
        <f ca="1">(PriceStimulation!G5)</f>
        <v>59.830923488385828</v>
      </c>
      <c r="C2">
        <f ca="1">(PriceStimulation!H5)</f>
        <v>64.891569409854498</v>
      </c>
      <c r="D2">
        <f ca="1">(PriceStimulation!I5)</f>
        <v>65.660779460889131</v>
      </c>
      <c r="E2">
        <f ca="1">(PriceStimulation!J5)</f>
        <v>67.604611476481153</v>
      </c>
      <c r="F2">
        <f ca="1">(PriceStimulation!K5)</f>
        <v>64.32488338958305</v>
      </c>
      <c r="G2">
        <f ca="1">(PriceStimulation!L5)</f>
        <v>67.56519958587441</v>
      </c>
      <c r="H2">
        <f ca="1">(PriceStimulation!M5)</f>
        <v>63.701699260636872</v>
      </c>
      <c r="I2">
        <f ca="1">(PriceStimulation!N5)</f>
        <v>63.782680667701229</v>
      </c>
      <c r="J2">
        <f ca="1">(PriceStimulation!O5)</f>
        <v>60.941719998817746</v>
      </c>
      <c r="K2">
        <f ca="1">(PriceStimulation!P5)</f>
        <v>66.544010480973455</v>
      </c>
      <c r="L2">
        <f ca="1">(PriceStimulation!Q5)</f>
        <v>58.2393759188896</v>
      </c>
      <c r="M2">
        <f ca="1">(PriceStimulation!R5)</f>
        <v>66.067420729759405</v>
      </c>
      <c r="N2">
        <f ca="1">(PriceStimulation!S5)</f>
        <v>61.876292625973285</v>
      </c>
      <c r="O2">
        <f ca="1">(PriceStimulation!T5)</f>
        <v>67.031124336795017</v>
      </c>
      <c r="P2">
        <f ca="1">(PriceStimulation!U5)</f>
        <v>59.345959447307244</v>
      </c>
      <c r="Q2">
        <f ca="1">(PriceStimulation!V5)</f>
        <v>64.136107069168006</v>
      </c>
      <c r="R2">
        <f ca="1">(PriceStimulation!W5)</f>
        <v>64.319055672743161</v>
      </c>
      <c r="S2">
        <f ca="1">(PriceStimulation!X5)</f>
        <v>66.480111766607195</v>
      </c>
      <c r="T2">
        <f ca="1">(PriceStimulation!Y5)</f>
        <v>59.928154669758257</v>
      </c>
      <c r="U2">
        <f ca="1">(PriceStimulation!Z5)</f>
        <v>62.989369991783533</v>
      </c>
      <c r="V2">
        <f ca="1">(PriceStimulation!AA5)</f>
        <v>62.772588615224066</v>
      </c>
      <c r="W2">
        <f ca="1">(PriceStimulation!AB5)</f>
        <v>61.024713661361972</v>
      </c>
      <c r="X2">
        <f ca="1">(PriceStimulation!AC5)</f>
        <v>61.569641839973521</v>
      </c>
      <c r="Y2">
        <f ca="1">(PriceStimulation!AD5)</f>
        <v>61.915487380444731</v>
      </c>
      <c r="Z2">
        <f ca="1">(PriceStimulation!AE5)</f>
        <v>65.289352895063217</v>
      </c>
      <c r="AA2">
        <f ca="1">(PriceStimulation!AF5)</f>
        <v>65.379191084996847</v>
      </c>
      <c r="AB2">
        <f ca="1">(PriceStimulation!AG5)</f>
        <v>66.059071578843117</v>
      </c>
      <c r="AC2">
        <f ca="1">(PriceStimulation!AH5)</f>
        <v>63.663446634828887</v>
      </c>
      <c r="AD2">
        <f ca="1">(PriceStimulation!AI5)</f>
        <v>65.196785376068348</v>
      </c>
      <c r="AE2">
        <f ca="1">(PriceStimulation!AJ5)</f>
        <v>63.393596958417881</v>
      </c>
      <c r="AF2">
        <f ca="1">(PriceStimulation!AK5)</f>
        <v>66.617267842079272</v>
      </c>
      <c r="AG2">
        <f ca="1">(PriceStimulation!AL5)</f>
        <v>58.782268173147763</v>
      </c>
      <c r="AH2">
        <f ca="1">(PriceStimulation!AM5)</f>
        <v>66.872285991312395</v>
      </c>
      <c r="AI2">
        <f ca="1">(PriceStimulation!AN5)</f>
        <v>65.421949399636759</v>
      </c>
      <c r="AJ2">
        <f ca="1">(PriceStimulation!AO5)</f>
        <v>70.889134698595058</v>
      </c>
      <c r="AK2">
        <f ca="1">(PriceStimulation!AP5)</f>
        <v>71.455464258281992</v>
      </c>
      <c r="AL2">
        <f ca="1">(PriceStimulation!AQ5)</f>
        <v>60.291188668441691</v>
      </c>
      <c r="AM2">
        <f ca="1">(PriceStimulation!AR5)</f>
        <v>65.690380416177632</v>
      </c>
      <c r="AN2">
        <f ca="1">(PriceStimulation!AS5)</f>
        <v>59.94680056945009</v>
      </c>
      <c r="AO2">
        <f ca="1">(PriceStimulation!AT5)</f>
        <v>59.421680486355967</v>
      </c>
      <c r="AP2">
        <f ca="1">(PriceStimulation!AU5)</f>
        <v>63.074035672290421</v>
      </c>
      <c r="AQ2">
        <f ca="1">(PriceStimulation!AV5)</f>
        <v>64.626701104709454</v>
      </c>
      <c r="AR2">
        <f ca="1">(PriceStimulation!AW5)</f>
        <v>64.698306174717203</v>
      </c>
      <c r="AS2">
        <f ca="1">(PriceStimulation!AX5)</f>
        <v>70.406277232751791</v>
      </c>
      <c r="AT2">
        <f ca="1">(PriceStimulation!AY5)</f>
        <v>62.659870195409958</v>
      </c>
      <c r="AU2">
        <f ca="1">(PriceStimulation!AZ5)</f>
        <v>64.638112085315825</v>
      </c>
      <c r="AV2">
        <f ca="1">(PriceStimulation!BA5)</f>
        <v>61.918215397794853</v>
      </c>
      <c r="AW2">
        <f ca="1">(PriceStimulation!BB5)</f>
        <v>64.117858124621904</v>
      </c>
      <c r="AX2">
        <f ca="1">(PriceStimulation!BC5)</f>
        <v>62.146040960511073</v>
      </c>
      <c r="AY2">
        <f ca="1">(PriceStimulation!BD5)</f>
        <v>62.396859241146721</v>
      </c>
      <c r="AZ2">
        <f ca="1">(PriceStimulation!BE5)</f>
        <v>59.354035076528184</v>
      </c>
      <c r="BA2">
        <f ca="1">(PriceStimulation!BF5)</f>
        <v>64.081983219941705</v>
      </c>
      <c r="BB2">
        <f ca="1">(PriceStimulation!BG5)</f>
        <v>68.886321588186803</v>
      </c>
      <c r="BC2">
        <f ca="1">(PriceStimulation!BH5)</f>
        <v>65.052917765568253</v>
      </c>
      <c r="BD2">
        <f ca="1">(PriceStimulation!BI5)</f>
        <v>61.492473311852351</v>
      </c>
      <c r="BE2">
        <f ca="1">(PriceStimulation!BJ5)</f>
        <v>64.768458857312794</v>
      </c>
      <c r="BF2">
        <f ca="1">(PriceStimulation!BK5)</f>
        <v>66.97483138277282</v>
      </c>
      <c r="BG2">
        <f ca="1">(PriceStimulation!BL5)</f>
        <v>68.601171318247836</v>
      </c>
      <c r="BH2">
        <f ca="1">(PriceStimulation!BM5)</f>
        <v>62.87554270782325</v>
      </c>
      <c r="BI2">
        <f ca="1">(PriceStimulation!BN5)</f>
        <v>64.468748153912713</v>
      </c>
      <c r="BJ2">
        <f ca="1">(PriceStimulation!BO5)</f>
        <v>61.285825570141711</v>
      </c>
      <c r="BK2">
        <f ca="1">(PriceStimulation!BP5)</f>
        <v>65.433620164507417</v>
      </c>
      <c r="BL2">
        <f ca="1">(PriceStimulation!BQ5)</f>
        <v>56.81777509672213</v>
      </c>
      <c r="BM2">
        <f ca="1">(PriceStimulation!BR5)</f>
        <v>66.263876653936165</v>
      </c>
      <c r="BN2">
        <f ca="1">(PriceStimulation!BS5)</f>
        <v>61.280526214737385</v>
      </c>
      <c r="BO2">
        <f ca="1">(PriceStimulation!BT5)</f>
        <v>63.863755163986376</v>
      </c>
      <c r="BP2">
        <f ca="1">(PriceStimulation!BU5)</f>
        <v>58.83404527608478</v>
      </c>
      <c r="BQ2">
        <f ca="1">(PriceStimulation!BV5)</f>
        <v>65.088606701082185</v>
      </c>
      <c r="BR2">
        <f ca="1">(PriceStimulation!BW5)</f>
        <v>64.151103846424817</v>
      </c>
      <c r="BS2">
        <f ca="1">(PriceStimulation!BX5)</f>
        <v>62.704017221340706</v>
      </c>
      <c r="BT2">
        <f ca="1">(PriceStimulation!BY5)</f>
        <v>65.489660846896044</v>
      </c>
      <c r="BU2">
        <f ca="1">(PriceStimulation!BZ5)</f>
        <v>64.850321042471847</v>
      </c>
      <c r="BV2">
        <f ca="1">(PriceStimulation!CA5)</f>
        <v>71.502109373913626</v>
      </c>
      <c r="BW2">
        <f ca="1">(PriceStimulation!CB5)</f>
        <v>66.778447561469761</v>
      </c>
      <c r="BX2">
        <f ca="1">(PriceStimulation!CC5)</f>
        <v>64.130404708272749</v>
      </c>
      <c r="BY2">
        <f ca="1">(PriceStimulation!CD5)</f>
        <v>60.513721613606585</v>
      </c>
      <c r="BZ2">
        <f ca="1">(PriceStimulation!CE5)</f>
        <v>57.894525818354275</v>
      </c>
      <c r="CA2">
        <f ca="1">(PriceStimulation!CF5)</f>
        <v>64.795120997258323</v>
      </c>
      <c r="CB2">
        <f ca="1">(PriceStimulation!CG5)</f>
        <v>60.862892861334991</v>
      </c>
      <c r="CC2">
        <f ca="1">(PriceStimulation!CH5)</f>
        <v>61.130738718326427</v>
      </c>
      <c r="CD2">
        <f ca="1">(PriceStimulation!CI5)</f>
        <v>59.531374610991378</v>
      </c>
      <c r="CE2">
        <f ca="1">(PriceStimulation!CJ5)</f>
        <v>63.451788749898128</v>
      </c>
      <c r="CF2">
        <f ca="1">(PriceStimulation!CK5)</f>
        <v>61.241228482566989</v>
      </c>
      <c r="CG2">
        <f ca="1">(PriceStimulation!CL5)</f>
        <v>66.017784095640096</v>
      </c>
      <c r="CH2">
        <f ca="1">(PriceStimulation!CM5)</f>
        <v>64.282946841709048</v>
      </c>
      <c r="CI2">
        <f ca="1">(PriceStimulation!CN5)</f>
        <v>62.114286032972799</v>
      </c>
      <c r="CJ2">
        <f ca="1">(PriceStimulation!CO5)</f>
        <v>66.549610697950541</v>
      </c>
      <c r="CK2">
        <f ca="1">(PriceStimulation!CP5)</f>
        <v>64.512065920303399</v>
      </c>
      <c r="CL2">
        <f ca="1">(PriceStimulation!CQ5)</f>
        <v>60.887710989024306</v>
      </c>
      <c r="CM2">
        <f ca="1">(PriceStimulation!CR5)</f>
        <v>57.51764916753347</v>
      </c>
      <c r="CN2">
        <f ca="1">(PriceStimulation!CS5)</f>
        <v>57.743162893231791</v>
      </c>
      <c r="CO2">
        <f ca="1">(PriceStimulation!CT5)</f>
        <v>63.431289846203327</v>
      </c>
      <c r="CP2">
        <f ca="1">(PriceStimulation!CU5)</f>
        <v>73.578371155903994</v>
      </c>
      <c r="CQ2">
        <f ca="1">(PriceStimulation!CV5)</f>
        <v>59.345807294472714</v>
      </c>
      <c r="CR2">
        <f ca="1">(PriceStimulation!CW5)</f>
        <v>60.391194618357972</v>
      </c>
      <c r="CS2">
        <f ca="1">(PriceStimulation!CX5)</f>
        <v>61.692057103660645</v>
      </c>
      <c r="CT2">
        <f ca="1">(PriceStimulation!CY5)</f>
        <v>64.814001919831611</v>
      </c>
      <c r="CU2">
        <f ca="1">(PriceStimulation!CZ5)</f>
        <v>65.391181869959937</v>
      </c>
      <c r="CV2">
        <f ca="1">(PriceStimulation!DA5)</f>
        <v>66.985051424371179</v>
      </c>
      <c r="CW2">
        <f ca="1">(PriceStimulation!DB5)</f>
        <v>69.858700210852504</v>
      </c>
    </row>
    <row r="3" spans="1:101" x14ac:dyDescent="0.2">
      <c r="A3" s="32" t="s">
        <v>357</v>
      </c>
      <c r="B3">
        <f ca="1">1.5*B2</f>
        <v>89.746385232578746</v>
      </c>
      <c r="C3">
        <f t="shared" ref="C3:BN3" ca="1" si="0">1.5*C2</f>
        <v>97.337354114781746</v>
      </c>
      <c r="D3">
        <f t="shared" ca="1" si="0"/>
        <v>98.491169191333697</v>
      </c>
      <c r="E3">
        <f t="shared" ca="1" si="0"/>
        <v>101.40691721472173</v>
      </c>
      <c r="F3">
        <f t="shared" ca="1" si="0"/>
        <v>96.487325084374575</v>
      </c>
      <c r="G3">
        <f t="shared" ca="1" si="0"/>
        <v>101.34779937881162</v>
      </c>
      <c r="H3">
        <f t="shared" ca="1" si="0"/>
        <v>95.552548890955308</v>
      </c>
      <c r="I3">
        <f t="shared" ca="1" si="0"/>
        <v>95.674021001551836</v>
      </c>
      <c r="J3">
        <f t="shared" ca="1" si="0"/>
        <v>91.412579998226619</v>
      </c>
      <c r="K3">
        <f t="shared" ca="1" si="0"/>
        <v>99.81601572146019</v>
      </c>
      <c r="L3">
        <f t="shared" ca="1" si="0"/>
        <v>87.359063878334396</v>
      </c>
      <c r="M3">
        <f t="shared" ca="1" si="0"/>
        <v>99.101131094639101</v>
      </c>
      <c r="N3">
        <f t="shared" ca="1" si="0"/>
        <v>92.814438938959924</v>
      </c>
      <c r="O3">
        <f t="shared" ca="1" si="0"/>
        <v>100.54668650519253</v>
      </c>
      <c r="P3">
        <f t="shared" ca="1" si="0"/>
        <v>89.018939170960863</v>
      </c>
      <c r="Q3">
        <f t="shared" ca="1" si="0"/>
        <v>96.204160603752001</v>
      </c>
      <c r="R3">
        <f t="shared" ca="1" si="0"/>
        <v>96.478583509114742</v>
      </c>
      <c r="S3">
        <f t="shared" ca="1" si="0"/>
        <v>99.720167649910792</v>
      </c>
      <c r="T3">
        <f t="shared" ca="1" si="0"/>
        <v>89.892232004637378</v>
      </c>
      <c r="U3">
        <f t="shared" ca="1" si="0"/>
        <v>94.484054987675307</v>
      </c>
      <c r="V3">
        <f t="shared" ca="1" si="0"/>
        <v>94.158882922836099</v>
      </c>
      <c r="W3">
        <f t="shared" ca="1" si="0"/>
        <v>91.537070492042957</v>
      </c>
      <c r="X3">
        <f t="shared" ca="1" si="0"/>
        <v>92.354462759960285</v>
      </c>
      <c r="Y3">
        <f t="shared" ca="1" si="0"/>
        <v>92.873231070667089</v>
      </c>
      <c r="Z3">
        <f t="shared" ca="1" si="0"/>
        <v>97.934029342594826</v>
      </c>
      <c r="AA3">
        <f t="shared" ca="1" si="0"/>
        <v>98.068786627495271</v>
      </c>
      <c r="AB3">
        <f t="shared" ca="1" si="0"/>
        <v>99.088607368264675</v>
      </c>
      <c r="AC3">
        <f t="shared" ca="1" si="0"/>
        <v>95.49516995224333</v>
      </c>
      <c r="AD3">
        <f t="shared" ca="1" si="0"/>
        <v>97.795178064102515</v>
      </c>
      <c r="AE3">
        <f t="shared" ca="1" si="0"/>
        <v>95.090395437626825</v>
      </c>
      <c r="AF3">
        <f t="shared" ca="1" si="0"/>
        <v>99.925901763118901</v>
      </c>
      <c r="AG3">
        <f t="shared" ca="1" si="0"/>
        <v>88.173402259721641</v>
      </c>
      <c r="AH3">
        <f t="shared" ca="1" si="0"/>
        <v>100.30842898696859</v>
      </c>
      <c r="AI3">
        <f t="shared" ca="1" si="0"/>
        <v>98.132924099455138</v>
      </c>
      <c r="AJ3">
        <f t="shared" ca="1" si="0"/>
        <v>106.33370204789259</v>
      </c>
      <c r="AK3">
        <f t="shared" ca="1" si="0"/>
        <v>107.18319638742298</v>
      </c>
      <c r="AL3">
        <f t="shared" ca="1" si="0"/>
        <v>90.436783002662537</v>
      </c>
      <c r="AM3">
        <f t="shared" ca="1" si="0"/>
        <v>98.535570624266455</v>
      </c>
      <c r="AN3">
        <f t="shared" ca="1" si="0"/>
        <v>89.920200854175135</v>
      </c>
      <c r="AO3">
        <f t="shared" ca="1" si="0"/>
        <v>89.132520729533951</v>
      </c>
      <c r="AP3">
        <f t="shared" ca="1" si="0"/>
        <v>94.611053508435631</v>
      </c>
      <c r="AQ3">
        <f t="shared" ca="1" si="0"/>
        <v>96.940051657064174</v>
      </c>
      <c r="AR3">
        <f t="shared" ca="1" si="0"/>
        <v>97.047459262075805</v>
      </c>
      <c r="AS3">
        <f t="shared" ca="1" si="0"/>
        <v>105.60941584912769</v>
      </c>
      <c r="AT3">
        <f t="shared" ca="1" si="0"/>
        <v>93.989805293114941</v>
      </c>
      <c r="AU3">
        <f t="shared" ca="1" si="0"/>
        <v>96.957168127973745</v>
      </c>
      <c r="AV3">
        <f t="shared" ca="1" si="0"/>
        <v>92.87732309669228</v>
      </c>
      <c r="AW3">
        <f t="shared" ca="1" si="0"/>
        <v>96.176787186932856</v>
      </c>
      <c r="AX3">
        <f t="shared" ca="1" si="0"/>
        <v>93.219061440766609</v>
      </c>
      <c r="AY3">
        <f t="shared" ca="1" si="0"/>
        <v>93.595288861720078</v>
      </c>
      <c r="AZ3">
        <f t="shared" ca="1" si="0"/>
        <v>89.031052614792273</v>
      </c>
      <c r="BA3">
        <f t="shared" ca="1" si="0"/>
        <v>96.12297482991255</v>
      </c>
      <c r="BB3">
        <f t="shared" ca="1" si="0"/>
        <v>103.3294823822802</v>
      </c>
      <c r="BC3">
        <f t="shared" ca="1" si="0"/>
        <v>97.57937664835238</v>
      </c>
      <c r="BD3">
        <f t="shared" ca="1" si="0"/>
        <v>92.238709967778533</v>
      </c>
      <c r="BE3">
        <f t="shared" ca="1" si="0"/>
        <v>97.152688285969191</v>
      </c>
      <c r="BF3">
        <f t="shared" ca="1" si="0"/>
        <v>100.46224707415922</v>
      </c>
      <c r="BG3">
        <f t="shared" ca="1" si="0"/>
        <v>102.90175697737175</v>
      </c>
      <c r="BH3">
        <f t="shared" ca="1" si="0"/>
        <v>94.313314061734872</v>
      </c>
      <c r="BI3">
        <f t="shared" ca="1" si="0"/>
        <v>96.70312223086907</v>
      </c>
      <c r="BJ3">
        <f t="shared" ca="1" si="0"/>
        <v>91.928738355212573</v>
      </c>
      <c r="BK3">
        <f t="shared" ca="1" si="0"/>
        <v>98.150430246761118</v>
      </c>
      <c r="BL3">
        <f t="shared" ca="1" si="0"/>
        <v>85.226662645083195</v>
      </c>
      <c r="BM3">
        <f t="shared" ca="1" si="0"/>
        <v>99.395814980904248</v>
      </c>
      <c r="BN3">
        <f t="shared" ca="1" si="0"/>
        <v>91.920789322106074</v>
      </c>
      <c r="BO3">
        <f t="shared" ref="BO3:CW3" ca="1" si="1">1.5*BO2</f>
        <v>95.79563274597956</v>
      </c>
      <c r="BP3">
        <f t="shared" ca="1" si="1"/>
        <v>88.251067914127162</v>
      </c>
      <c r="BQ3">
        <f t="shared" ca="1" si="1"/>
        <v>97.63291005162327</v>
      </c>
      <c r="BR3">
        <f t="shared" ca="1" si="1"/>
        <v>96.226655769637233</v>
      </c>
      <c r="BS3">
        <f t="shared" ca="1" si="1"/>
        <v>94.056025832011059</v>
      </c>
      <c r="BT3">
        <f t="shared" ca="1" si="1"/>
        <v>98.234491270344066</v>
      </c>
      <c r="BU3">
        <f t="shared" ca="1" si="1"/>
        <v>97.275481563707771</v>
      </c>
      <c r="BV3">
        <f t="shared" ca="1" si="1"/>
        <v>107.25316406087043</v>
      </c>
      <c r="BW3">
        <f t="shared" ca="1" si="1"/>
        <v>100.16767134220464</v>
      </c>
      <c r="BX3">
        <f t="shared" ca="1" si="1"/>
        <v>96.195607062409124</v>
      </c>
      <c r="BY3">
        <f t="shared" ca="1" si="1"/>
        <v>90.77058242040988</v>
      </c>
      <c r="BZ3">
        <f t="shared" ca="1" si="1"/>
        <v>86.841788727531409</v>
      </c>
      <c r="CA3">
        <f t="shared" ca="1" si="1"/>
        <v>97.192681495887484</v>
      </c>
      <c r="CB3">
        <f t="shared" ca="1" si="1"/>
        <v>91.294339292002491</v>
      </c>
      <c r="CC3">
        <f t="shared" ca="1" si="1"/>
        <v>91.69610807748964</v>
      </c>
      <c r="CD3">
        <f t="shared" ca="1" si="1"/>
        <v>89.297061916487067</v>
      </c>
      <c r="CE3">
        <f t="shared" ca="1" si="1"/>
        <v>95.177683124847192</v>
      </c>
      <c r="CF3">
        <f t="shared" ca="1" si="1"/>
        <v>91.861842723850486</v>
      </c>
      <c r="CG3">
        <f t="shared" ca="1" si="1"/>
        <v>99.026676143460151</v>
      </c>
      <c r="CH3">
        <f t="shared" ca="1" si="1"/>
        <v>96.424420262563572</v>
      </c>
      <c r="CI3">
        <f t="shared" ca="1" si="1"/>
        <v>93.171429049459192</v>
      </c>
      <c r="CJ3">
        <f t="shared" ca="1" si="1"/>
        <v>99.824416046925819</v>
      </c>
      <c r="CK3">
        <f t="shared" ca="1" si="1"/>
        <v>96.768098880455099</v>
      </c>
      <c r="CL3">
        <f t="shared" ca="1" si="1"/>
        <v>91.331566483536463</v>
      </c>
      <c r="CM3">
        <f t="shared" ca="1" si="1"/>
        <v>86.276473751300202</v>
      </c>
      <c r="CN3">
        <f t="shared" ca="1" si="1"/>
        <v>86.61474433984769</v>
      </c>
      <c r="CO3">
        <f t="shared" ca="1" si="1"/>
        <v>95.146934769304991</v>
      </c>
      <c r="CP3">
        <f t="shared" ca="1" si="1"/>
        <v>110.36755673385599</v>
      </c>
      <c r="CQ3">
        <f t="shared" ca="1" si="1"/>
        <v>89.018710941709074</v>
      </c>
      <c r="CR3">
        <f t="shared" ca="1" si="1"/>
        <v>90.58679192753695</v>
      </c>
      <c r="CS3">
        <f t="shared" ca="1" si="1"/>
        <v>92.53808565549096</v>
      </c>
      <c r="CT3">
        <f t="shared" ca="1" si="1"/>
        <v>97.221002879747417</v>
      </c>
      <c r="CU3">
        <f t="shared" ca="1" si="1"/>
        <v>98.086772804939898</v>
      </c>
      <c r="CV3">
        <f t="shared" ca="1" si="1"/>
        <v>100.47757713655676</v>
      </c>
      <c r="CW3">
        <f t="shared" ca="1" si="1"/>
        <v>104.78805031627876</v>
      </c>
    </row>
    <row r="4" spans="1:101" x14ac:dyDescent="0.2">
      <c r="A4" s="32" t="s">
        <v>358</v>
      </c>
      <c r="B4">
        <f ca="1">B3-B2</f>
        <v>29.915461744192918</v>
      </c>
      <c r="C4">
        <f t="shared" ref="C4:BN4" ca="1" si="2">C3-C2</f>
        <v>32.445784704927249</v>
      </c>
      <c r="D4">
        <f t="shared" ca="1" si="2"/>
        <v>32.830389730444566</v>
      </c>
      <c r="E4">
        <f t="shared" ca="1" si="2"/>
        <v>33.802305738240577</v>
      </c>
      <c r="F4">
        <f t="shared" ca="1" si="2"/>
        <v>32.162441694791525</v>
      </c>
      <c r="G4">
        <f t="shared" ca="1" si="2"/>
        <v>33.782599792937205</v>
      </c>
      <c r="H4">
        <f t="shared" ca="1" si="2"/>
        <v>31.850849630318436</v>
      </c>
      <c r="I4">
        <f t="shared" ca="1" si="2"/>
        <v>31.891340333850607</v>
      </c>
      <c r="J4">
        <f t="shared" ca="1" si="2"/>
        <v>30.470859999408873</v>
      </c>
      <c r="K4">
        <f t="shared" ca="1" si="2"/>
        <v>33.272005240486735</v>
      </c>
      <c r="L4">
        <f t="shared" ca="1" si="2"/>
        <v>29.119687959444796</v>
      </c>
      <c r="M4">
        <f t="shared" ca="1" si="2"/>
        <v>33.033710364879695</v>
      </c>
      <c r="N4">
        <f t="shared" ca="1" si="2"/>
        <v>30.938146312986639</v>
      </c>
      <c r="O4">
        <f t="shared" ca="1" si="2"/>
        <v>33.515562168397508</v>
      </c>
      <c r="P4">
        <f t="shared" ca="1" si="2"/>
        <v>29.672979723653619</v>
      </c>
      <c r="Q4">
        <f t="shared" ca="1" si="2"/>
        <v>32.068053534583996</v>
      </c>
      <c r="R4">
        <f t="shared" ca="1" si="2"/>
        <v>32.159527836371581</v>
      </c>
      <c r="S4">
        <f t="shared" ca="1" si="2"/>
        <v>33.240055883303597</v>
      </c>
      <c r="T4">
        <f t="shared" ca="1" si="2"/>
        <v>29.964077334879121</v>
      </c>
      <c r="U4">
        <f t="shared" ca="1" si="2"/>
        <v>31.494684995891774</v>
      </c>
      <c r="V4">
        <f t="shared" ca="1" si="2"/>
        <v>31.386294307612033</v>
      </c>
      <c r="W4">
        <f t="shared" ca="1" si="2"/>
        <v>30.512356830680986</v>
      </c>
      <c r="X4">
        <f t="shared" ca="1" si="2"/>
        <v>30.784820919986764</v>
      </c>
      <c r="Y4">
        <f t="shared" ca="1" si="2"/>
        <v>30.957743690222358</v>
      </c>
      <c r="Z4">
        <f t="shared" ca="1" si="2"/>
        <v>32.644676447531609</v>
      </c>
      <c r="AA4">
        <f t="shared" ca="1" si="2"/>
        <v>32.689595542498424</v>
      </c>
      <c r="AB4">
        <f t="shared" ca="1" si="2"/>
        <v>33.029535789421558</v>
      </c>
      <c r="AC4">
        <f t="shared" ca="1" si="2"/>
        <v>31.831723317414443</v>
      </c>
      <c r="AD4">
        <f t="shared" ca="1" si="2"/>
        <v>32.598392688034167</v>
      </c>
      <c r="AE4">
        <f t="shared" ca="1" si="2"/>
        <v>31.696798479208944</v>
      </c>
      <c r="AF4">
        <f t="shared" ca="1" si="2"/>
        <v>33.308633921039629</v>
      </c>
      <c r="AG4">
        <f t="shared" ca="1" si="2"/>
        <v>29.391134086573878</v>
      </c>
      <c r="AH4">
        <f t="shared" ca="1" si="2"/>
        <v>33.436142995656198</v>
      </c>
      <c r="AI4">
        <f t="shared" ca="1" si="2"/>
        <v>32.710974699818379</v>
      </c>
      <c r="AJ4">
        <f t="shared" ca="1" si="2"/>
        <v>35.444567349297529</v>
      </c>
      <c r="AK4">
        <f t="shared" ca="1" si="2"/>
        <v>35.727732129140989</v>
      </c>
      <c r="AL4">
        <f t="shared" ca="1" si="2"/>
        <v>30.145594334220846</v>
      </c>
      <c r="AM4">
        <f t="shared" ca="1" si="2"/>
        <v>32.845190208088823</v>
      </c>
      <c r="AN4">
        <f t="shared" ca="1" si="2"/>
        <v>29.973400284725045</v>
      </c>
      <c r="AO4">
        <f t="shared" ca="1" si="2"/>
        <v>29.710840243177984</v>
      </c>
      <c r="AP4">
        <f t="shared" ca="1" si="2"/>
        <v>31.53701783614521</v>
      </c>
      <c r="AQ4">
        <f t="shared" ca="1" si="2"/>
        <v>32.31335055235472</v>
      </c>
      <c r="AR4">
        <f t="shared" ca="1" si="2"/>
        <v>32.349153087358602</v>
      </c>
      <c r="AS4">
        <f t="shared" ca="1" si="2"/>
        <v>35.203138616375895</v>
      </c>
      <c r="AT4">
        <f t="shared" ca="1" si="2"/>
        <v>31.329935097704983</v>
      </c>
      <c r="AU4">
        <f t="shared" ca="1" si="2"/>
        <v>32.31905604265792</v>
      </c>
      <c r="AV4">
        <f t="shared" ca="1" si="2"/>
        <v>30.959107698897427</v>
      </c>
      <c r="AW4">
        <f t="shared" ca="1" si="2"/>
        <v>32.058929062310952</v>
      </c>
      <c r="AX4">
        <f t="shared" ca="1" si="2"/>
        <v>31.073020480255536</v>
      </c>
      <c r="AY4">
        <f t="shared" ca="1" si="2"/>
        <v>31.198429620573357</v>
      </c>
      <c r="AZ4">
        <f t="shared" ca="1" si="2"/>
        <v>29.677017538264089</v>
      </c>
      <c r="BA4">
        <f t="shared" ca="1" si="2"/>
        <v>32.040991609970845</v>
      </c>
      <c r="BB4">
        <f t="shared" ca="1" si="2"/>
        <v>34.443160794093401</v>
      </c>
      <c r="BC4">
        <f t="shared" ca="1" si="2"/>
        <v>32.526458882784127</v>
      </c>
      <c r="BD4">
        <f t="shared" ca="1" si="2"/>
        <v>30.746236655926182</v>
      </c>
      <c r="BE4">
        <f t="shared" ca="1" si="2"/>
        <v>32.384229428656397</v>
      </c>
      <c r="BF4">
        <f t="shared" ca="1" si="2"/>
        <v>33.487415691386403</v>
      </c>
      <c r="BG4">
        <f t="shared" ca="1" si="2"/>
        <v>34.300585659123911</v>
      </c>
      <c r="BH4">
        <f t="shared" ca="1" si="2"/>
        <v>31.437771353911621</v>
      </c>
      <c r="BI4">
        <f t="shared" ca="1" si="2"/>
        <v>32.234374076956357</v>
      </c>
      <c r="BJ4">
        <f t="shared" ca="1" si="2"/>
        <v>30.642912785070862</v>
      </c>
      <c r="BK4">
        <f t="shared" ca="1" si="2"/>
        <v>32.716810082253701</v>
      </c>
      <c r="BL4">
        <f t="shared" ca="1" si="2"/>
        <v>28.408887548361065</v>
      </c>
      <c r="BM4">
        <f t="shared" ca="1" si="2"/>
        <v>33.131938326968083</v>
      </c>
      <c r="BN4">
        <f t="shared" ca="1" si="2"/>
        <v>30.640263107368689</v>
      </c>
      <c r="BO4">
        <f t="shared" ref="BO4:CW4" ca="1" si="3">BO3-BO2</f>
        <v>31.931877581993184</v>
      </c>
      <c r="BP4">
        <f t="shared" ca="1" si="3"/>
        <v>29.417022638042383</v>
      </c>
      <c r="BQ4">
        <f t="shared" ca="1" si="3"/>
        <v>32.544303350541085</v>
      </c>
      <c r="BR4">
        <f t="shared" ca="1" si="3"/>
        <v>32.075551923212416</v>
      </c>
      <c r="BS4">
        <f t="shared" ca="1" si="3"/>
        <v>31.352008610670353</v>
      </c>
      <c r="BT4">
        <f t="shared" ca="1" si="3"/>
        <v>32.744830423448022</v>
      </c>
      <c r="BU4">
        <f t="shared" ca="1" si="3"/>
        <v>32.425160521235924</v>
      </c>
      <c r="BV4">
        <f t="shared" ca="1" si="3"/>
        <v>35.751054686956806</v>
      </c>
      <c r="BW4">
        <f t="shared" ca="1" si="3"/>
        <v>33.389223780734881</v>
      </c>
      <c r="BX4">
        <f t="shared" ca="1" si="3"/>
        <v>32.065202354136375</v>
      </c>
      <c r="BY4">
        <f t="shared" ca="1" si="3"/>
        <v>30.256860806803296</v>
      </c>
      <c r="BZ4">
        <f t="shared" ca="1" si="3"/>
        <v>28.947262909177134</v>
      </c>
      <c r="CA4">
        <f t="shared" ca="1" si="3"/>
        <v>32.397560498629161</v>
      </c>
      <c r="CB4">
        <f t="shared" ca="1" si="3"/>
        <v>30.431446430667499</v>
      </c>
      <c r="CC4">
        <f t="shared" ca="1" si="3"/>
        <v>30.565369359163213</v>
      </c>
      <c r="CD4">
        <f t="shared" ca="1" si="3"/>
        <v>29.765687305495689</v>
      </c>
      <c r="CE4">
        <f t="shared" ca="1" si="3"/>
        <v>31.725894374949064</v>
      </c>
      <c r="CF4">
        <f t="shared" ca="1" si="3"/>
        <v>30.620614241283498</v>
      </c>
      <c r="CG4">
        <f t="shared" ca="1" si="3"/>
        <v>33.008892047820055</v>
      </c>
      <c r="CH4">
        <f t="shared" ca="1" si="3"/>
        <v>32.141473420854524</v>
      </c>
      <c r="CI4">
        <f t="shared" ca="1" si="3"/>
        <v>31.057143016486393</v>
      </c>
      <c r="CJ4">
        <f t="shared" ca="1" si="3"/>
        <v>33.274805348975278</v>
      </c>
      <c r="CK4">
        <f t="shared" ca="1" si="3"/>
        <v>32.2560329601517</v>
      </c>
      <c r="CL4">
        <f t="shared" ca="1" si="3"/>
        <v>30.443855494512157</v>
      </c>
      <c r="CM4">
        <f t="shared" ca="1" si="3"/>
        <v>28.758824583766732</v>
      </c>
      <c r="CN4">
        <f t="shared" ca="1" si="3"/>
        <v>28.871581446615899</v>
      </c>
      <c r="CO4">
        <f t="shared" ca="1" si="3"/>
        <v>31.715644923101664</v>
      </c>
      <c r="CP4">
        <f t="shared" ca="1" si="3"/>
        <v>36.789185577951997</v>
      </c>
      <c r="CQ4">
        <f t="shared" ca="1" si="3"/>
        <v>29.67290364723636</v>
      </c>
      <c r="CR4">
        <f t="shared" ca="1" si="3"/>
        <v>30.195597309178979</v>
      </c>
      <c r="CS4">
        <f t="shared" ca="1" si="3"/>
        <v>30.846028551830315</v>
      </c>
      <c r="CT4">
        <f t="shared" ca="1" si="3"/>
        <v>32.407000959915806</v>
      </c>
      <c r="CU4">
        <f t="shared" ca="1" si="3"/>
        <v>32.695590934979961</v>
      </c>
      <c r="CV4">
        <f t="shared" ca="1" si="3"/>
        <v>33.492525712185582</v>
      </c>
      <c r="CW4">
        <f t="shared" ca="1" si="3"/>
        <v>34.929350105426252</v>
      </c>
    </row>
    <row r="5" spans="1:101" x14ac:dyDescent="0.2">
      <c r="A5" s="32" t="s">
        <v>362</v>
      </c>
      <c r="B5">
        <f ca="1">_xlfn.PERCENTILE.INC(B4:CW4, 0.05)</f>
        <v>29.377561780217423</v>
      </c>
      <c r="D5" t="s">
        <v>364</v>
      </c>
      <c r="E5" s="3">
        <f ca="1">COUNTIF(B4:CW4, "&lt;0") / 100</f>
        <v>0</v>
      </c>
    </row>
    <row r="6" spans="1:101" x14ac:dyDescent="0.2">
      <c r="A6" s="32"/>
    </row>
    <row r="7" spans="1:101" x14ac:dyDescent="0.2">
      <c r="A7" s="32" t="s">
        <v>360</v>
      </c>
      <c r="B7">
        <v>65</v>
      </c>
      <c r="C7">
        <v>65</v>
      </c>
      <c r="D7">
        <v>65</v>
      </c>
      <c r="E7">
        <v>65</v>
      </c>
      <c r="F7">
        <v>65</v>
      </c>
      <c r="G7">
        <v>65</v>
      </c>
      <c r="H7">
        <v>65</v>
      </c>
      <c r="I7">
        <v>65</v>
      </c>
      <c r="J7">
        <v>65</v>
      </c>
      <c r="K7">
        <v>65</v>
      </c>
      <c r="L7">
        <v>65</v>
      </c>
      <c r="M7">
        <v>65</v>
      </c>
      <c r="N7">
        <v>65</v>
      </c>
      <c r="O7">
        <v>65</v>
      </c>
      <c r="P7">
        <v>65</v>
      </c>
      <c r="Q7">
        <v>65</v>
      </c>
      <c r="R7">
        <v>65</v>
      </c>
      <c r="S7">
        <v>65</v>
      </c>
      <c r="T7">
        <v>65</v>
      </c>
      <c r="U7">
        <v>65</v>
      </c>
      <c r="V7">
        <v>65</v>
      </c>
      <c r="W7">
        <v>65</v>
      </c>
      <c r="X7">
        <v>65</v>
      </c>
      <c r="Y7">
        <v>65</v>
      </c>
      <c r="Z7">
        <v>65</v>
      </c>
      <c r="AA7">
        <v>65</v>
      </c>
      <c r="AB7">
        <v>65</v>
      </c>
      <c r="AC7">
        <v>65</v>
      </c>
      <c r="AD7">
        <v>65</v>
      </c>
      <c r="AE7">
        <v>65</v>
      </c>
      <c r="AF7">
        <v>65</v>
      </c>
      <c r="AG7">
        <v>65</v>
      </c>
      <c r="AH7">
        <v>65</v>
      </c>
      <c r="AI7">
        <v>65</v>
      </c>
      <c r="AJ7">
        <v>65</v>
      </c>
      <c r="AK7">
        <v>65</v>
      </c>
      <c r="AL7">
        <v>65</v>
      </c>
      <c r="AM7">
        <v>65</v>
      </c>
      <c r="AN7">
        <v>65</v>
      </c>
      <c r="AO7">
        <v>65</v>
      </c>
      <c r="AP7">
        <v>65</v>
      </c>
      <c r="AQ7">
        <v>65</v>
      </c>
      <c r="AR7">
        <v>65</v>
      </c>
      <c r="AS7">
        <v>65</v>
      </c>
      <c r="AT7">
        <v>65</v>
      </c>
      <c r="AU7">
        <v>65</v>
      </c>
      <c r="AV7">
        <v>65</v>
      </c>
      <c r="AW7">
        <v>65</v>
      </c>
      <c r="AX7">
        <v>65</v>
      </c>
      <c r="AY7">
        <v>65</v>
      </c>
      <c r="AZ7">
        <v>65</v>
      </c>
      <c r="BA7">
        <v>65</v>
      </c>
      <c r="BB7">
        <v>65</v>
      </c>
      <c r="BC7">
        <v>65</v>
      </c>
      <c r="BD7">
        <v>65</v>
      </c>
      <c r="BE7">
        <v>65</v>
      </c>
      <c r="BF7">
        <v>65</v>
      </c>
      <c r="BG7">
        <v>65</v>
      </c>
      <c r="BH7">
        <v>65</v>
      </c>
      <c r="BI7">
        <v>65</v>
      </c>
      <c r="BJ7">
        <v>65</v>
      </c>
      <c r="BK7">
        <v>65</v>
      </c>
      <c r="BL7">
        <v>65</v>
      </c>
      <c r="BM7">
        <v>65</v>
      </c>
      <c r="BN7">
        <v>65</v>
      </c>
      <c r="BO7">
        <v>65</v>
      </c>
      <c r="BP7">
        <v>65</v>
      </c>
      <c r="BQ7">
        <v>65</v>
      </c>
      <c r="BR7">
        <v>65</v>
      </c>
      <c r="BS7">
        <v>65</v>
      </c>
      <c r="BT7">
        <v>65</v>
      </c>
      <c r="BU7">
        <v>65</v>
      </c>
      <c r="BV7">
        <v>65</v>
      </c>
      <c r="BW7">
        <v>65</v>
      </c>
      <c r="BX7">
        <v>65</v>
      </c>
      <c r="BY7">
        <v>65</v>
      </c>
      <c r="BZ7">
        <v>65</v>
      </c>
      <c r="CA7">
        <v>65</v>
      </c>
      <c r="CB7">
        <v>65</v>
      </c>
      <c r="CC7">
        <v>65</v>
      </c>
      <c r="CD7">
        <v>65</v>
      </c>
      <c r="CE7">
        <v>65</v>
      </c>
      <c r="CF7">
        <v>65</v>
      </c>
      <c r="CG7">
        <v>65</v>
      </c>
      <c r="CH7">
        <v>65</v>
      </c>
      <c r="CI7">
        <v>65</v>
      </c>
      <c r="CJ7">
        <v>65</v>
      </c>
      <c r="CK7">
        <v>65</v>
      </c>
      <c r="CL7">
        <v>65</v>
      </c>
      <c r="CM7">
        <v>65</v>
      </c>
      <c r="CN7">
        <v>65</v>
      </c>
      <c r="CO7">
        <v>65</v>
      </c>
      <c r="CP7">
        <v>65</v>
      </c>
      <c r="CQ7">
        <v>65</v>
      </c>
      <c r="CR7">
        <v>65</v>
      </c>
      <c r="CS7">
        <v>65</v>
      </c>
      <c r="CT7">
        <v>65</v>
      </c>
      <c r="CU7">
        <v>65</v>
      </c>
      <c r="CV7">
        <v>65</v>
      </c>
      <c r="CW7">
        <v>65</v>
      </c>
    </row>
    <row r="8" spans="1:101" x14ac:dyDescent="0.2">
      <c r="A8" s="32" t="s">
        <v>361</v>
      </c>
      <c r="B8">
        <f ca="1">B7-B2</f>
        <v>5.1690765116141719</v>
      </c>
      <c r="C8">
        <f t="shared" ref="C8:BN8" ca="1" si="4">C7-C2</f>
        <v>0.10843059014550249</v>
      </c>
      <c r="D8">
        <f t="shared" ca="1" si="4"/>
        <v>-0.66077946088913109</v>
      </c>
      <c r="E8">
        <f t="shared" ca="1" si="4"/>
        <v>-2.6046114764811534</v>
      </c>
      <c r="F8">
        <f t="shared" ca="1" si="4"/>
        <v>0.67511661041694992</v>
      </c>
      <c r="G8">
        <f t="shared" ca="1" si="4"/>
        <v>-2.5651995858744101</v>
      </c>
      <c r="H8">
        <f t="shared" ca="1" si="4"/>
        <v>1.2983007393631283</v>
      </c>
      <c r="I8">
        <f t="shared" ca="1" si="4"/>
        <v>1.2173193322987714</v>
      </c>
      <c r="J8">
        <f t="shared" ca="1" si="4"/>
        <v>4.0582800011822542</v>
      </c>
      <c r="K8">
        <f t="shared" ca="1" si="4"/>
        <v>-1.5440104809734549</v>
      </c>
      <c r="L8">
        <f t="shared" ca="1" si="4"/>
        <v>6.7606240811104001</v>
      </c>
      <c r="M8">
        <f t="shared" ca="1" si="4"/>
        <v>-1.0674207297594052</v>
      </c>
      <c r="N8">
        <f t="shared" ca="1" si="4"/>
        <v>3.1237073740267149</v>
      </c>
      <c r="O8">
        <f t="shared" ca="1" si="4"/>
        <v>-2.0311243367950169</v>
      </c>
      <c r="P8">
        <f t="shared" ca="1" si="4"/>
        <v>5.6540405526927557</v>
      </c>
      <c r="Q8">
        <f t="shared" ca="1" si="4"/>
        <v>0.86389293083199448</v>
      </c>
      <c r="R8">
        <f t="shared" ca="1" si="4"/>
        <v>0.68094432725683873</v>
      </c>
      <c r="S8">
        <f t="shared" ca="1" si="4"/>
        <v>-1.4801117666071946</v>
      </c>
      <c r="T8">
        <f t="shared" ca="1" si="4"/>
        <v>5.071845330241743</v>
      </c>
      <c r="U8">
        <f t="shared" ca="1" si="4"/>
        <v>2.0106300082164665</v>
      </c>
      <c r="V8">
        <f t="shared" ca="1" si="4"/>
        <v>2.2274113847759338</v>
      </c>
      <c r="W8">
        <f t="shared" ca="1" si="4"/>
        <v>3.9752863386380284</v>
      </c>
      <c r="X8">
        <f t="shared" ca="1" si="4"/>
        <v>3.4303581600264792</v>
      </c>
      <c r="Y8">
        <f t="shared" ca="1" si="4"/>
        <v>3.0845126195552695</v>
      </c>
      <c r="Z8">
        <f t="shared" ca="1" si="4"/>
        <v>-0.28935289506321737</v>
      </c>
      <c r="AA8">
        <f t="shared" ca="1" si="4"/>
        <v>-0.37919108499684739</v>
      </c>
      <c r="AB8">
        <f t="shared" ca="1" si="4"/>
        <v>-1.0590715788431169</v>
      </c>
      <c r="AC8">
        <f t="shared" ca="1" si="4"/>
        <v>1.3365533651711132</v>
      </c>
      <c r="AD8">
        <f t="shared" ca="1" si="4"/>
        <v>-0.19678537606834823</v>
      </c>
      <c r="AE8">
        <f t="shared" ca="1" si="4"/>
        <v>1.6064030415821193</v>
      </c>
      <c r="AF8">
        <f t="shared" ca="1" si="4"/>
        <v>-1.6172678420792721</v>
      </c>
      <c r="AG8">
        <f t="shared" ca="1" si="4"/>
        <v>6.217731826852237</v>
      </c>
      <c r="AH8">
        <f t="shared" ca="1" si="4"/>
        <v>-1.8722859913123955</v>
      </c>
      <c r="AI8">
        <f t="shared" ca="1" si="4"/>
        <v>-0.42194939963675893</v>
      </c>
      <c r="AJ8">
        <f t="shared" ca="1" si="4"/>
        <v>-5.8891346985950577</v>
      </c>
      <c r="AK8">
        <f t="shared" ca="1" si="4"/>
        <v>-6.4554642582819923</v>
      </c>
      <c r="AL8">
        <f t="shared" ca="1" si="4"/>
        <v>4.7088113315583087</v>
      </c>
      <c r="AM8">
        <f t="shared" ca="1" si="4"/>
        <v>-0.69038041617763213</v>
      </c>
      <c r="AN8">
        <f t="shared" ca="1" si="4"/>
        <v>5.0531994305499097</v>
      </c>
      <c r="AO8">
        <f t="shared" ca="1" si="4"/>
        <v>5.5783195136440327</v>
      </c>
      <c r="AP8">
        <f t="shared" ca="1" si="4"/>
        <v>1.925964327709579</v>
      </c>
      <c r="AQ8">
        <f t="shared" ca="1" si="4"/>
        <v>0.37329889529054583</v>
      </c>
      <c r="AR8">
        <f t="shared" ca="1" si="4"/>
        <v>0.30169382528279698</v>
      </c>
      <c r="AS8">
        <f t="shared" ca="1" si="4"/>
        <v>-5.4062772327517905</v>
      </c>
      <c r="AT8">
        <f t="shared" ca="1" si="4"/>
        <v>2.3401298045900418</v>
      </c>
      <c r="AU8">
        <f t="shared" ca="1" si="4"/>
        <v>0.36188791468417492</v>
      </c>
      <c r="AV8">
        <f t="shared" ca="1" si="4"/>
        <v>3.0817846022051469</v>
      </c>
      <c r="AW8">
        <f t="shared" ca="1" si="4"/>
        <v>0.88214187537809607</v>
      </c>
      <c r="AX8">
        <f t="shared" ca="1" si="4"/>
        <v>2.8539590394889274</v>
      </c>
      <c r="AY8">
        <f t="shared" ca="1" si="4"/>
        <v>2.6031407588532787</v>
      </c>
      <c r="AZ8">
        <f t="shared" ca="1" si="4"/>
        <v>5.6459649234718157</v>
      </c>
      <c r="BA8">
        <f t="shared" ca="1" si="4"/>
        <v>0.91801678005829501</v>
      </c>
      <c r="BB8">
        <f t="shared" ca="1" si="4"/>
        <v>-3.886321588186803</v>
      </c>
      <c r="BC8">
        <f t="shared" ca="1" si="4"/>
        <v>-5.2917765568253117E-2</v>
      </c>
      <c r="BD8">
        <f t="shared" ca="1" si="4"/>
        <v>3.5075266881476495</v>
      </c>
      <c r="BE8">
        <f t="shared" ca="1" si="4"/>
        <v>0.23154114268720605</v>
      </c>
      <c r="BF8">
        <f t="shared" ca="1" si="4"/>
        <v>-1.9748313827728197</v>
      </c>
      <c r="BG8">
        <f t="shared" ca="1" si="4"/>
        <v>-3.601171318247836</v>
      </c>
      <c r="BH8">
        <f t="shared" ca="1" si="4"/>
        <v>2.1244572921767499</v>
      </c>
      <c r="BI8">
        <f t="shared" ca="1" si="4"/>
        <v>0.53125184608728659</v>
      </c>
      <c r="BJ8">
        <f t="shared" ca="1" si="4"/>
        <v>3.7141744298582893</v>
      </c>
      <c r="BK8">
        <f t="shared" ca="1" si="4"/>
        <v>-0.43362016450741692</v>
      </c>
      <c r="BL8">
        <f t="shared" ca="1" si="4"/>
        <v>8.18222490327787</v>
      </c>
      <c r="BM8">
        <f t="shared" ca="1" si="4"/>
        <v>-1.2638766539361654</v>
      </c>
      <c r="BN8">
        <f t="shared" ca="1" si="4"/>
        <v>3.7194737852626147</v>
      </c>
      <c r="BO8">
        <f t="shared" ref="BO8:CW8" ca="1" si="5">BO7-BO2</f>
        <v>1.1362448360136241</v>
      </c>
      <c r="BP8">
        <f t="shared" ca="1" si="5"/>
        <v>6.1659547239152204</v>
      </c>
      <c r="BQ8">
        <f t="shared" ca="1" si="5"/>
        <v>-8.8606701082184713E-2</v>
      </c>
      <c r="BR8">
        <f t="shared" ca="1" si="5"/>
        <v>0.84889615357518267</v>
      </c>
      <c r="BS8">
        <f t="shared" ca="1" si="5"/>
        <v>2.2959827786592939</v>
      </c>
      <c r="BT8">
        <f t="shared" ca="1" si="5"/>
        <v>-0.48966084689604372</v>
      </c>
      <c r="BU8">
        <f t="shared" ca="1" si="5"/>
        <v>0.14967895752815252</v>
      </c>
      <c r="BV8">
        <f t="shared" ca="1" si="5"/>
        <v>-6.5021093739136262</v>
      </c>
      <c r="BW8">
        <f t="shared" ca="1" si="5"/>
        <v>-1.7784475614697612</v>
      </c>
      <c r="BX8">
        <f t="shared" ca="1" si="5"/>
        <v>0.8695952917272507</v>
      </c>
      <c r="BY8">
        <f t="shared" ca="1" si="5"/>
        <v>4.4862783863934155</v>
      </c>
      <c r="BZ8">
        <f t="shared" ca="1" si="5"/>
        <v>7.1054741816457252</v>
      </c>
      <c r="CA8">
        <f t="shared" ca="1" si="5"/>
        <v>0.20487900274167714</v>
      </c>
      <c r="CB8">
        <f t="shared" ca="1" si="5"/>
        <v>4.1371071386650087</v>
      </c>
      <c r="CC8">
        <f t="shared" ca="1" si="5"/>
        <v>3.8692612816735732</v>
      </c>
      <c r="CD8">
        <f t="shared" ca="1" si="5"/>
        <v>5.4686253890086221</v>
      </c>
      <c r="CE8">
        <f t="shared" ca="1" si="5"/>
        <v>1.5482112501018719</v>
      </c>
      <c r="CF8">
        <f t="shared" ca="1" si="5"/>
        <v>3.7587715174330114</v>
      </c>
      <c r="CG8">
        <f t="shared" ca="1" si="5"/>
        <v>-1.0177840956400956</v>
      </c>
      <c r="CH8">
        <f t="shared" ca="1" si="5"/>
        <v>0.71705315829095184</v>
      </c>
      <c r="CI8">
        <f t="shared" ca="1" si="5"/>
        <v>2.8857139670272005</v>
      </c>
      <c r="CJ8">
        <f t="shared" ca="1" si="5"/>
        <v>-1.5496106979505413</v>
      </c>
      <c r="CK8">
        <f t="shared" ca="1" si="5"/>
        <v>0.48793407969660052</v>
      </c>
      <c r="CL8">
        <f t="shared" ca="1" si="5"/>
        <v>4.1122890109756938</v>
      </c>
      <c r="CM8">
        <f t="shared" ca="1" si="5"/>
        <v>7.4823508324665298</v>
      </c>
      <c r="CN8">
        <f t="shared" ca="1" si="5"/>
        <v>7.2568371067682094</v>
      </c>
      <c r="CO8">
        <f t="shared" ca="1" si="5"/>
        <v>1.5687101537966726</v>
      </c>
      <c r="CP8">
        <f t="shared" ca="1" si="5"/>
        <v>-8.5783711559039943</v>
      </c>
      <c r="CQ8">
        <f t="shared" ca="1" si="5"/>
        <v>5.6541927055272865</v>
      </c>
      <c r="CR8">
        <f t="shared" ca="1" si="5"/>
        <v>4.6088053816420285</v>
      </c>
      <c r="CS8">
        <f t="shared" ca="1" si="5"/>
        <v>3.3079428963393553</v>
      </c>
      <c r="CT8">
        <f t="shared" ca="1" si="5"/>
        <v>0.18599808016838892</v>
      </c>
      <c r="CU8">
        <f t="shared" ca="1" si="5"/>
        <v>-0.39118186995993653</v>
      </c>
      <c r="CV8">
        <f t="shared" ca="1" si="5"/>
        <v>-1.9850514243711785</v>
      </c>
      <c r="CW8">
        <f t="shared" ca="1" si="5"/>
        <v>-4.8587002108525041</v>
      </c>
    </row>
    <row r="9" spans="1:101" x14ac:dyDescent="0.2">
      <c r="A9" s="32" t="s">
        <v>362</v>
      </c>
      <c r="B9">
        <f ca="1">_xlfn.PERCENTILE.INC(B8:CW8, 0.05)</f>
        <v>-4.8860790619474681</v>
      </c>
      <c r="D9" t="s">
        <v>364</v>
      </c>
      <c r="E9" s="3">
        <f ca="1">COUNTIF(B8:CW8, "&lt;0") / 100</f>
        <v>0.34</v>
      </c>
    </row>
    <row r="10" spans="1:101" x14ac:dyDescent="0.2">
      <c r="A10" s="32"/>
    </row>
    <row r="11" spans="1:101" x14ac:dyDescent="0.2">
      <c r="A11" s="32" t="s">
        <v>363</v>
      </c>
    </row>
    <row r="12" spans="1:101" x14ac:dyDescent="0.2">
      <c r="A12" s="32"/>
    </row>
    <row r="13" spans="1:101" x14ac:dyDescent="0.2">
      <c r="A13" s="32"/>
    </row>
    <row r="14" spans="1:101" x14ac:dyDescent="0.2">
      <c r="A14" s="32"/>
    </row>
    <row r="15" spans="1:101" x14ac:dyDescent="0.2">
      <c r="A15" s="32"/>
    </row>
    <row r="16" spans="1:101" x14ac:dyDescent="0.2">
      <c r="A16" s="32"/>
    </row>
    <row r="17" spans="1:1" x14ac:dyDescent="0.2">
      <c r="A17" s="32"/>
    </row>
    <row r="18" spans="1:1" x14ac:dyDescent="0.2">
      <c r="A18" s="32"/>
    </row>
    <row r="19" spans="1:1" x14ac:dyDescent="0.2">
      <c r="A19" s="32"/>
    </row>
    <row r="20" spans="1:1" x14ac:dyDescent="0.2">
      <c r="A20" s="32"/>
    </row>
    <row r="21" spans="1:1" x14ac:dyDescent="0.2">
      <c r="A21" s="32"/>
    </row>
    <row r="22" spans="1:1" x14ac:dyDescent="0.2">
      <c r="A22" s="32"/>
    </row>
    <row r="23" spans="1:1" x14ac:dyDescent="0.2">
      <c r="A23" s="32"/>
    </row>
    <row r="24" spans="1:1" x14ac:dyDescent="0.2">
      <c r="A24" s="32"/>
    </row>
    <row r="25" spans="1:1" x14ac:dyDescent="0.2">
      <c r="A25" s="32"/>
    </row>
    <row r="26" spans="1:1" x14ac:dyDescent="0.2">
      <c r="A26" s="32"/>
    </row>
    <row r="27" spans="1:1" x14ac:dyDescent="0.2">
      <c r="A27" s="32"/>
    </row>
    <row r="28" spans="1:1" x14ac:dyDescent="0.2">
      <c r="A28" s="32"/>
    </row>
    <row r="29" spans="1:1" x14ac:dyDescent="0.2">
      <c r="A29" s="32"/>
    </row>
    <row r="30" spans="1:1" x14ac:dyDescent="0.2">
      <c r="A30" s="32"/>
    </row>
    <row r="31" spans="1:1" x14ac:dyDescent="0.2">
      <c r="A31" s="32"/>
    </row>
    <row r="32" spans="1:1" x14ac:dyDescent="0.2">
      <c r="A32" s="32"/>
    </row>
    <row r="33" spans="1:1" x14ac:dyDescent="0.2">
      <c r="A33" s="32"/>
    </row>
    <row r="34" spans="1:1" x14ac:dyDescent="0.2">
      <c r="A34" s="32"/>
    </row>
    <row r="35" spans="1:1" x14ac:dyDescent="0.2">
      <c r="A35" s="32"/>
    </row>
    <row r="36" spans="1:1" x14ac:dyDescent="0.2">
      <c r="A36" s="32"/>
    </row>
    <row r="37" spans="1:1" x14ac:dyDescent="0.2">
      <c r="A37" s="32"/>
    </row>
    <row r="38" spans="1:1" x14ac:dyDescent="0.2">
      <c r="A38" s="32"/>
    </row>
    <row r="39" spans="1:1" x14ac:dyDescent="0.2">
      <c r="A39" s="32"/>
    </row>
    <row r="40" spans="1:1" x14ac:dyDescent="0.2">
      <c r="A40" s="32"/>
    </row>
    <row r="41" spans="1:1" x14ac:dyDescent="0.2">
      <c r="A41" s="32"/>
    </row>
    <row r="42" spans="1:1" x14ac:dyDescent="0.2">
      <c r="A42" s="32"/>
    </row>
    <row r="43" spans="1:1" x14ac:dyDescent="0.2">
      <c r="A43" s="32"/>
    </row>
    <row r="44" spans="1:1" x14ac:dyDescent="0.2">
      <c r="A44" s="32"/>
    </row>
    <row r="45" spans="1:1" x14ac:dyDescent="0.2">
      <c r="A45" s="32"/>
    </row>
    <row r="46" spans="1:1" x14ac:dyDescent="0.2">
      <c r="A46" s="32"/>
    </row>
    <row r="47" spans="1:1" x14ac:dyDescent="0.2">
      <c r="A47" s="32"/>
    </row>
    <row r="48" spans="1:1" x14ac:dyDescent="0.2">
      <c r="A48" s="32"/>
    </row>
    <row r="49" spans="1:1" x14ac:dyDescent="0.2">
      <c r="A49" s="32"/>
    </row>
    <row r="50" spans="1:1" x14ac:dyDescent="0.2">
      <c r="A50" s="32"/>
    </row>
    <row r="51" spans="1:1" x14ac:dyDescent="0.2">
      <c r="A51" s="32"/>
    </row>
    <row r="52" spans="1:1" x14ac:dyDescent="0.2">
      <c r="A52" s="32"/>
    </row>
    <row r="53" spans="1:1" x14ac:dyDescent="0.2">
      <c r="A53" s="32"/>
    </row>
    <row r="54" spans="1:1" x14ac:dyDescent="0.2">
      <c r="A54" s="32"/>
    </row>
    <row r="55" spans="1:1" x14ac:dyDescent="0.2">
      <c r="A55" s="32"/>
    </row>
    <row r="56" spans="1:1" x14ac:dyDescent="0.2">
      <c r="A56" s="32"/>
    </row>
    <row r="57" spans="1:1" x14ac:dyDescent="0.2">
      <c r="A57" s="32"/>
    </row>
    <row r="58" spans="1:1" x14ac:dyDescent="0.2">
      <c r="A58" s="32"/>
    </row>
    <row r="59" spans="1:1" x14ac:dyDescent="0.2">
      <c r="A59" s="32"/>
    </row>
    <row r="60" spans="1:1" x14ac:dyDescent="0.2">
      <c r="A60" s="32"/>
    </row>
    <row r="61" spans="1:1" x14ac:dyDescent="0.2">
      <c r="A61" s="32"/>
    </row>
    <row r="62" spans="1:1" x14ac:dyDescent="0.2">
      <c r="A62" s="32"/>
    </row>
    <row r="63" spans="1:1" x14ac:dyDescent="0.2">
      <c r="A63" s="32"/>
    </row>
    <row r="64" spans="1:1" x14ac:dyDescent="0.2">
      <c r="A64" s="32"/>
    </row>
    <row r="65" spans="1:1" x14ac:dyDescent="0.2">
      <c r="A65" s="32"/>
    </row>
    <row r="66" spans="1:1" x14ac:dyDescent="0.2">
      <c r="A66" s="32"/>
    </row>
    <row r="67" spans="1:1" x14ac:dyDescent="0.2">
      <c r="A67" s="32"/>
    </row>
    <row r="68" spans="1:1" x14ac:dyDescent="0.2">
      <c r="A68" s="32"/>
    </row>
    <row r="69" spans="1:1" x14ac:dyDescent="0.2">
      <c r="A69" s="32"/>
    </row>
    <row r="70" spans="1:1" x14ac:dyDescent="0.2">
      <c r="A70" s="32"/>
    </row>
    <row r="71" spans="1:1" x14ac:dyDescent="0.2">
      <c r="A71" s="32"/>
    </row>
    <row r="72" spans="1:1" x14ac:dyDescent="0.2">
      <c r="A72" s="32"/>
    </row>
    <row r="73" spans="1:1" x14ac:dyDescent="0.2">
      <c r="A73" s="32"/>
    </row>
    <row r="74" spans="1:1" x14ac:dyDescent="0.2">
      <c r="A74" s="32"/>
    </row>
    <row r="75" spans="1:1" x14ac:dyDescent="0.2">
      <c r="A75" s="32"/>
    </row>
    <row r="76" spans="1:1" x14ac:dyDescent="0.2">
      <c r="A76" s="32"/>
    </row>
    <row r="77" spans="1:1" x14ac:dyDescent="0.2">
      <c r="A77" s="32"/>
    </row>
    <row r="78" spans="1:1" x14ac:dyDescent="0.2">
      <c r="A78" s="32"/>
    </row>
    <row r="79" spans="1:1" x14ac:dyDescent="0.2">
      <c r="A79" s="32"/>
    </row>
    <row r="80" spans="1:1" x14ac:dyDescent="0.2">
      <c r="A80" s="32"/>
    </row>
    <row r="81" spans="1:1" x14ac:dyDescent="0.2">
      <c r="A81" s="32"/>
    </row>
    <row r="82" spans="1:1" x14ac:dyDescent="0.2">
      <c r="A82" s="32"/>
    </row>
    <row r="83" spans="1:1" x14ac:dyDescent="0.2">
      <c r="A83" s="32"/>
    </row>
    <row r="84" spans="1:1" x14ac:dyDescent="0.2">
      <c r="A84" s="32"/>
    </row>
    <row r="85" spans="1:1" x14ac:dyDescent="0.2">
      <c r="A85" s="32"/>
    </row>
    <row r="86" spans="1:1" x14ac:dyDescent="0.2">
      <c r="A86" s="32"/>
    </row>
    <row r="87" spans="1:1" x14ac:dyDescent="0.2">
      <c r="A87" s="32"/>
    </row>
    <row r="88" spans="1:1" x14ac:dyDescent="0.2">
      <c r="A88" s="32"/>
    </row>
    <row r="89" spans="1:1" x14ac:dyDescent="0.2">
      <c r="A89" s="32"/>
    </row>
    <row r="90" spans="1:1" x14ac:dyDescent="0.2">
      <c r="A90" s="32"/>
    </row>
    <row r="91" spans="1:1" x14ac:dyDescent="0.2">
      <c r="A91" s="32"/>
    </row>
    <row r="92" spans="1:1" x14ac:dyDescent="0.2">
      <c r="A92" s="32"/>
    </row>
    <row r="93" spans="1:1" x14ac:dyDescent="0.2">
      <c r="A93" s="32"/>
    </row>
    <row r="94" spans="1:1" x14ac:dyDescent="0.2">
      <c r="A94" s="32"/>
    </row>
    <row r="95" spans="1:1" x14ac:dyDescent="0.2">
      <c r="A95" s="32"/>
    </row>
    <row r="96" spans="1:1" x14ac:dyDescent="0.2">
      <c r="A96" s="32"/>
    </row>
    <row r="97" spans="1:1" x14ac:dyDescent="0.2">
      <c r="A97" s="32"/>
    </row>
    <row r="98" spans="1:1" x14ac:dyDescent="0.2">
      <c r="A98" s="32"/>
    </row>
    <row r="99" spans="1:1" x14ac:dyDescent="0.2">
      <c r="A99" s="32"/>
    </row>
    <row r="100" spans="1:1" x14ac:dyDescent="0.2">
      <c r="A100" s="32"/>
    </row>
    <row r="101" spans="1:1" x14ac:dyDescent="0.2">
      <c r="A101" s="32"/>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09730-1DDB-9A4A-B655-B29C0D51B0EE}">
  <dimension ref="A2:DB19"/>
  <sheetViews>
    <sheetView workbookViewId="0">
      <selection activeCell="B6" sqref="B6"/>
    </sheetView>
  </sheetViews>
  <sheetFormatPr baseColWidth="10" defaultRowHeight="16" x14ac:dyDescent="0.2"/>
  <cols>
    <col min="102" max="102" width="12" customWidth="1"/>
    <col min="103" max="103" width="18" customWidth="1"/>
    <col min="104" max="104" width="16.6640625" customWidth="1"/>
    <col min="106" max="106" width="10.83203125" style="3"/>
  </cols>
  <sheetData>
    <row r="2" spans="1:106" x14ac:dyDescent="0.2">
      <c r="A2" s="32" t="s">
        <v>240</v>
      </c>
      <c r="B2" s="32" t="s">
        <v>241</v>
      </c>
      <c r="C2" s="32" t="s">
        <v>242</v>
      </c>
      <c r="D2" s="32" t="s">
        <v>243</v>
      </c>
      <c r="E2" s="32" t="s">
        <v>244</v>
      </c>
      <c r="F2" s="32" t="s">
        <v>245</v>
      </c>
      <c r="G2" s="32" t="s">
        <v>246</v>
      </c>
      <c r="H2" s="32" t="s">
        <v>247</v>
      </c>
      <c r="I2" s="32" t="s">
        <v>248</v>
      </c>
      <c r="J2" s="32" t="s">
        <v>249</v>
      </c>
      <c r="K2" s="32" t="s">
        <v>250</v>
      </c>
      <c r="L2" s="32" t="s">
        <v>251</v>
      </c>
      <c r="M2" s="32" t="s">
        <v>252</v>
      </c>
      <c r="N2" s="32" t="s">
        <v>253</v>
      </c>
      <c r="O2" s="32" t="s">
        <v>254</v>
      </c>
      <c r="P2" s="32" t="s">
        <v>255</v>
      </c>
      <c r="Q2" s="32" t="s">
        <v>256</v>
      </c>
      <c r="R2" s="32" t="s">
        <v>257</v>
      </c>
      <c r="S2" s="32" t="s">
        <v>258</v>
      </c>
      <c r="T2" s="32" t="s">
        <v>259</v>
      </c>
      <c r="U2" s="32" t="s">
        <v>260</v>
      </c>
      <c r="V2" s="32" t="s">
        <v>261</v>
      </c>
      <c r="W2" s="32" t="s">
        <v>262</v>
      </c>
      <c r="X2" s="32" t="s">
        <v>263</v>
      </c>
      <c r="Y2" s="32" t="s">
        <v>264</v>
      </c>
      <c r="Z2" s="32" t="s">
        <v>265</v>
      </c>
      <c r="AA2" s="32" t="s">
        <v>266</v>
      </c>
      <c r="AB2" s="32" t="s">
        <v>267</v>
      </c>
      <c r="AC2" s="32" t="s">
        <v>268</v>
      </c>
      <c r="AD2" s="32" t="s">
        <v>269</v>
      </c>
      <c r="AE2" s="32" t="s">
        <v>270</v>
      </c>
      <c r="AF2" s="32" t="s">
        <v>271</v>
      </c>
      <c r="AG2" s="32" t="s">
        <v>272</v>
      </c>
      <c r="AH2" s="32" t="s">
        <v>273</v>
      </c>
      <c r="AI2" s="32" t="s">
        <v>274</v>
      </c>
      <c r="AJ2" s="32" t="s">
        <v>275</v>
      </c>
      <c r="AK2" s="32" t="s">
        <v>276</v>
      </c>
      <c r="AL2" s="32" t="s">
        <v>277</v>
      </c>
      <c r="AM2" s="32" t="s">
        <v>278</v>
      </c>
      <c r="AN2" s="32" t="s">
        <v>279</v>
      </c>
      <c r="AO2" s="32" t="s">
        <v>280</v>
      </c>
      <c r="AP2" s="32" t="s">
        <v>281</v>
      </c>
      <c r="AQ2" s="32" t="s">
        <v>282</v>
      </c>
      <c r="AR2" s="32" t="s">
        <v>283</v>
      </c>
      <c r="AS2" s="32" t="s">
        <v>284</v>
      </c>
      <c r="AT2" s="32" t="s">
        <v>285</v>
      </c>
      <c r="AU2" s="32" t="s">
        <v>286</v>
      </c>
      <c r="AV2" s="32" t="s">
        <v>287</v>
      </c>
      <c r="AW2" s="32" t="s">
        <v>288</v>
      </c>
      <c r="AX2" s="32" t="s">
        <v>289</v>
      </c>
      <c r="AY2" s="32" t="s">
        <v>290</v>
      </c>
      <c r="AZ2" s="32" t="s">
        <v>291</v>
      </c>
      <c r="BA2" s="32" t="s">
        <v>292</v>
      </c>
      <c r="BB2" s="32" t="s">
        <v>293</v>
      </c>
      <c r="BC2" s="32" t="s">
        <v>294</v>
      </c>
      <c r="BD2" s="32" t="s">
        <v>295</v>
      </c>
      <c r="BE2" s="32" t="s">
        <v>296</v>
      </c>
      <c r="BF2" s="32" t="s">
        <v>297</v>
      </c>
      <c r="BG2" s="32" t="s">
        <v>298</v>
      </c>
      <c r="BH2" s="32" t="s">
        <v>299</v>
      </c>
      <c r="BI2" s="32" t="s">
        <v>300</v>
      </c>
      <c r="BJ2" s="32" t="s">
        <v>301</v>
      </c>
      <c r="BK2" s="32" t="s">
        <v>302</v>
      </c>
      <c r="BL2" s="32" t="s">
        <v>303</v>
      </c>
      <c r="BM2" s="32" t="s">
        <v>304</v>
      </c>
      <c r="BN2" s="32" t="s">
        <v>305</v>
      </c>
      <c r="BO2" s="32" t="s">
        <v>306</v>
      </c>
      <c r="BP2" s="32" t="s">
        <v>307</v>
      </c>
      <c r="BQ2" s="32" t="s">
        <v>308</v>
      </c>
      <c r="BR2" s="32" t="s">
        <v>309</v>
      </c>
      <c r="BS2" s="32" t="s">
        <v>310</v>
      </c>
      <c r="BT2" s="32" t="s">
        <v>311</v>
      </c>
      <c r="BU2" s="32" t="s">
        <v>312</v>
      </c>
      <c r="BV2" s="32" t="s">
        <v>313</v>
      </c>
      <c r="BW2" s="32" t="s">
        <v>314</v>
      </c>
      <c r="BX2" s="32" t="s">
        <v>315</v>
      </c>
      <c r="BY2" s="32" t="s">
        <v>316</v>
      </c>
      <c r="BZ2" s="32" t="s">
        <v>317</v>
      </c>
      <c r="CA2" s="32" t="s">
        <v>318</v>
      </c>
      <c r="CB2" s="32" t="s">
        <v>319</v>
      </c>
      <c r="CC2" s="32" t="s">
        <v>320</v>
      </c>
      <c r="CD2" s="32" t="s">
        <v>321</v>
      </c>
      <c r="CE2" s="32" t="s">
        <v>322</v>
      </c>
      <c r="CF2" s="32" t="s">
        <v>323</v>
      </c>
      <c r="CG2" s="32" t="s">
        <v>324</v>
      </c>
      <c r="CH2" s="32" t="s">
        <v>325</v>
      </c>
      <c r="CI2" s="32" t="s">
        <v>326</v>
      </c>
      <c r="CJ2" s="32" t="s">
        <v>327</v>
      </c>
      <c r="CK2" s="32" t="s">
        <v>328</v>
      </c>
      <c r="CL2" s="32" t="s">
        <v>329</v>
      </c>
      <c r="CM2" s="32" t="s">
        <v>330</v>
      </c>
      <c r="CN2" s="32" t="s">
        <v>331</v>
      </c>
      <c r="CO2" s="32" t="s">
        <v>332</v>
      </c>
      <c r="CP2" s="32" t="s">
        <v>333</v>
      </c>
      <c r="CQ2" s="32" t="s">
        <v>334</v>
      </c>
      <c r="CR2" s="32" t="s">
        <v>335</v>
      </c>
      <c r="CS2" s="32" t="s">
        <v>336</v>
      </c>
      <c r="CT2" s="32" t="s">
        <v>337</v>
      </c>
      <c r="CU2" s="32" t="s">
        <v>338</v>
      </c>
      <c r="CV2" s="32" t="s">
        <v>339</v>
      </c>
      <c r="CW2" s="32" t="s">
        <v>340</v>
      </c>
      <c r="CX2" s="32" t="s">
        <v>352</v>
      </c>
      <c r="CY2" s="32" t="s">
        <v>351</v>
      </c>
      <c r="CZ2" s="32" t="s">
        <v>353</v>
      </c>
      <c r="DA2" s="32" t="s">
        <v>354</v>
      </c>
      <c r="DB2" s="55" t="s">
        <v>355</v>
      </c>
    </row>
    <row r="3" spans="1:106" x14ac:dyDescent="0.2">
      <c r="A3">
        <v>0</v>
      </c>
      <c r="B3">
        <f>(PriceStimulation!G2)*(SUM(InventoryPurchasing!$E$2:$E$112)-SUM(SalesRevenueAuto!$E$2:$E$40))</f>
        <v>14722.172397532981</v>
      </c>
      <c r="C3">
        <f>(PriceStimulation!H2)*(SUM(InventoryPurchasing!$E$2:$E$112)-SUM(SalesRevenueAuto!$E$2:$E$40))</f>
        <v>14722.172397532981</v>
      </c>
      <c r="D3">
        <f>(PriceStimulation!I2)*(SUM(InventoryPurchasing!$E$2:$E$112)-SUM(SalesRevenueAuto!$E$2:$E$40))</f>
        <v>14722.172397532981</v>
      </c>
      <c r="E3">
        <f>(PriceStimulation!J2)*(SUM(InventoryPurchasing!$E$2:$E$112)-SUM(SalesRevenueAuto!$E$2:$E$40))</f>
        <v>14722.172397532981</v>
      </c>
      <c r="F3">
        <f>(PriceStimulation!K2)*(SUM(InventoryPurchasing!$E$2:$E$112)-SUM(SalesRevenueAuto!$E$2:$E$40))</f>
        <v>14722.172397532981</v>
      </c>
      <c r="G3">
        <f>(PriceStimulation!L2)*(SUM(InventoryPurchasing!$E$2:$E$112)-SUM(SalesRevenueAuto!$E$2:$E$40))</f>
        <v>14722.172397532981</v>
      </c>
      <c r="H3">
        <f>(PriceStimulation!M2)*(SUM(InventoryPurchasing!$E$2:$E$112)-SUM(SalesRevenueAuto!$E$2:$E$40))</f>
        <v>14722.172397532981</v>
      </c>
      <c r="I3">
        <f>(PriceStimulation!N2)*(SUM(InventoryPurchasing!$E$2:$E$112)-SUM(SalesRevenueAuto!$E$2:$E$40))</f>
        <v>14722.172397532981</v>
      </c>
      <c r="J3">
        <f>(PriceStimulation!O2)*(SUM(InventoryPurchasing!$E$2:$E$112)-SUM(SalesRevenueAuto!$E$2:$E$40))</f>
        <v>14722.172397532981</v>
      </c>
      <c r="K3">
        <f>(PriceStimulation!P2)*(SUM(InventoryPurchasing!$E$2:$E$112)-SUM(SalesRevenueAuto!$E$2:$E$40))</f>
        <v>14722.172397532981</v>
      </c>
      <c r="L3">
        <f>(PriceStimulation!Q2)*(SUM(InventoryPurchasing!$E$2:$E$112)-SUM(SalesRevenueAuto!$E$2:$E$40))</f>
        <v>14722.172397532981</v>
      </c>
      <c r="M3">
        <f>(PriceStimulation!R2)*(SUM(InventoryPurchasing!$E$2:$E$112)-SUM(SalesRevenueAuto!$E$2:$E$40))</f>
        <v>14722.172397532981</v>
      </c>
      <c r="N3">
        <f>(PriceStimulation!S2)*(SUM(InventoryPurchasing!$E$2:$E$112)-SUM(SalesRevenueAuto!$E$2:$E$40))</f>
        <v>14722.172397532981</v>
      </c>
      <c r="O3">
        <f>(PriceStimulation!T2)*(SUM(InventoryPurchasing!$E$2:$E$112)-SUM(SalesRevenueAuto!$E$2:$E$40))</f>
        <v>14722.172397532981</v>
      </c>
      <c r="P3">
        <f>(PriceStimulation!U2)*(SUM(InventoryPurchasing!$E$2:$E$112)-SUM(SalesRevenueAuto!$E$2:$E$40))</f>
        <v>14722.172397532981</v>
      </c>
      <c r="Q3">
        <f>(PriceStimulation!V2)*(SUM(InventoryPurchasing!$E$2:$E$112)-SUM(SalesRevenueAuto!$E$2:$E$40))</f>
        <v>14722.172397532981</v>
      </c>
      <c r="R3">
        <f>(PriceStimulation!W2)*(SUM(InventoryPurchasing!$E$2:$E$112)-SUM(SalesRevenueAuto!$E$2:$E$40))</f>
        <v>14722.172397532981</v>
      </c>
      <c r="S3">
        <f>(PriceStimulation!X2)*(SUM(InventoryPurchasing!$E$2:$E$112)-SUM(SalesRevenueAuto!$E$2:$E$40))</f>
        <v>14722.172397532981</v>
      </c>
      <c r="T3">
        <f>(PriceStimulation!Y2)*(SUM(InventoryPurchasing!$E$2:$E$112)-SUM(SalesRevenueAuto!$E$2:$E$40))</f>
        <v>14722.172397532981</v>
      </c>
      <c r="U3">
        <f>(PriceStimulation!Z2)*(SUM(InventoryPurchasing!$E$2:$E$112)-SUM(SalesRevenueAuto!$E$2:$E$40))</f>
        <v>14722.172397532981</v>
      </c>
      <c r="V3">
        <f>(PriceStimulation!AA2)*(SUM(InventoryPurchasing!$E$2:$E$112)-SUM(SalesRevenueAuto!$E$2:$E$40))</f>
        <v>14722.172397532981</v>
      </c>
      <c r="W3">
        <f>(PriceStimulation!AB2)*(SUM(InventoryPurchasing!$E$2:$E$112)-SUM(SalesRevenueAuto!$E$2:$E$40))</f>
        <v>14722.172397532981</v>
      </c>
      <c r="X3">
        <f>(PriceStimulation!AC2)*(SUM(InventoryPurchasing!$E$2:$E$112)-SUM(SalesRevenueAuto!$E$2:$E$40))</f>
        <v>14722.172397532981</v>
      </c>
      <c r="Y3">
        <f>(PriceStimulation!AD2)*(SUM(InventoryPurchasing!$E$2:$E$112)-SUM(SalesRevenueAuto!$E$2:$E$40))</f>
        <v>14722.172397532981</v>
      </c>
      <c r="Z3">
        <f>(PriceStimulation!AE2)*(SUM(InventoryPurchasing!$E$2:$E$112)-SUM(SalesRevenueAuto!$E$2:$E$40))</f>
        <v>14722.172397532981</v>
      </c>
      <c r="AA3">
        <f>(PriceStimulation!AF2)*(SUM(InventoryPurchasing!$E$2:$E$112)-SUM(SalesRevenueAuto!$E$2:$E$40))</f>
        <v>14722.172397532981</v>
      </c>
      <c r="AB3">
        <f>(PriceStimulation!AG2)*(SUM(InventoryPurchasing!$E$2:$E$112)-SUM(SalesRevenueAuto!$E$2:$E$40))</f>
        <v>14722.172397532981</v>
      </c>
      <c r="AC3">
        <f>(PriceStimulation!AH2)*(SUM(InventoryPurchasing!$E$2:$E$112)-SUM(SalesRevenueAuto!$E$2:$E$40))</f>
        <v>14722.172397532981</v>
      </c>
      <c r="AD3">
        <f>(PriceStimulation!AI2)*(SUM(InventoryPurchasing!$E$2:$E$112)-SUM(SalesRevenueAuto!$E$2:$E$40))</f>
        <v>14722.172397532981</v>
      </c>
      <c r="AE3">
        <f>(PriceStimulation!AJ2)*(SUM(InventoryPurchasing!$E$2:$E$112)-SUM(SalesRevenueAuto!$E$2:$E$40))</f>
        <v>14722.172397532981</v>
      </c>
      <c r="AF3">
        <f>(PriceStimulation!AK2)*(SUM(InventoryPurchasing!$E$2:$E$112)-SUM(SalesRevenueAuto!$E$2:$E$40))</f>
        <v>14722.172397532981</v>
      </c>
      <c r="AG3">
        <f>(PriceStimulation!AL2)*(SUM(InventoryPurchasing!$E$2:$E$112)-SUM(SalesRevenueAuto!$E$2:$E$40))</f>
        <v>14722.172397532981</v>
      </c>
      <c r="AH3">
        <f>(PriceStimulation!AM2)*(SUM(InventoryPurchasing!$E$2:$E$112)-SUM(SalesRevenueAuto!$E$2:$E$40))</f>
        <v>14722.172397532981</v>
      </c>
      <c r="AI3">
        <f>(PriceStimulation!AN2)*(SUM(InventoryPurchasing!$E$2:$E$112)-SUM(SalesRevenueAuto!$E$2:$E$40))</f>
        <v>14722.172397532981</v>
      </c>
      <c r="AJ3">
        <f>(PriceStimulation!AO2)*(SUM(InventoryPurchasing!$E$2:$E$112)-SUM(SalesRevenueAuto!$E$2:$E$40))</f>
        <v>14722.172397532981</v>
      </c>
      <c r="AK3">
        <f>(PriceStimulation!AP2)*(SUM(InventoryPurchasing!$E$2:$E$112)-SUM(SalesRevenueAuto!$E$2:$E$40))</f>
        <v>14722.172397532981</v>
      </c>
      <c r="AL3">
        <f>(PriceStimulation!AQ2)*(SUM(InventoryPurchasing!$E$2:$E$112)-SUM(SalesRevenueAuto!$E$2:$E$40))</f>
        <v>14722.172397532981</v>
      </c>
      <c r="AM3">
        <f>(PriceStimulation!AR2)*(SUM(InventoryPurchasing!$E$2:$E$112)-SUM(SalesRevenueAuto!$E$2:$E$40))</f>
        <v>14722.172397532981</v>
      </c>
      <c r="AN3">
        <f>(PriceStimulation!AS2)*(SUM(InventoryPurchasing!$E$2:$E$112)-SUM(SalesRevenueAuto!$E$2:$E$40))</f>
        <v>14722.172397532981</v>
      </c>
      <c r="AO3">
        <f>(PriceStimulation!AT2)*(SUM(InventoryPurchasing!$E$2:$E$112)-SUM(SalesRevenueAuto!$E$2:$E$40))</f>
        <v>14722.172397532981</v>
      </c>
      <c r="AP3">
        <f>(PriceStimulation!AU2)*(SUM(InventoryPurchasing!$E$2:$E$112)-SUM(SalesRevenueAuto!$E$2:$E$40))</f>
        <v>14722.172397532981</v>
      </c>
      <c r="AQ3">
        <f>(PriceStimulation!AV2)*(SUM(InventoryPurchasing!$E$2:$E$112)-SUM(SalesRevenueAuto!$E$2:$E$40))</f>
        <v>14722.172397532981</v>
      </c>
      <c r="AR3">
        <f>(PriceStimulation!AW2)*(SUM(InventoryPurchasing!$E$2:$E$112)-SUM(SalesRevenueAuto!$E$2:$E$40))</f>
        <v>14722.172397532981</v>
      </c>
      <c r="AS3">
        <f>(PriceStimulation!AX2)*(SUM(InventoryPurchasing!$E$2:$E$112)-SUM(SalesRevenueAuto!$E$2:$E$40))</f>
        <v>14722.172397532981</v>
      </c>
      <c r="AT3">
        <f>(PriceStimulation!AY2)*(SUM(InventoryPurchasing!$E$2:$E$112)-SUM(SalesRevenueAuto!$E$2:$E$40))</f>
        <v>14722.172397532981</v>
      </c>
      <c r="AU3">
        <f>(PriceStimulation!AZ2)*(SUM(InventoryPurchasing!$E$2:$E$112)-SUM(SalesRevenueAuto!$E$2:$E$40))</f>
        <v>14722.172397532981</v>
      </c>
      <c r="AV3">
        <f>(PriceStimulation!BA2)*(SUM(InventoryPurchasing!$E$2:$E$112)-SUM(SalesRevenueAuto!$E$2:$E$40))</f>
        <v>14722.172397532981</v>
      </c>
      <c r="AW3">
        <f>(PriceStimulation!BB2)*(SUM(InventoryPurchasing!$E$2:$E$112)-SUM(SalesRevenueAuto!$E$2:$E$40))</f>
        <v>14722.172397532981</v>
      </c>
      <c r="AX3">
        <f>(PriceStimulation!BC2)*(SUM(InventoryPurchasing!$E$2:$E$112)-SUM(SalesRevenueAuto!$E$2:$E$40))</f>
        <v>14722.172397532981</v>
      </c>
      <c r="AY3">
        <f>(PriceStimulation!BD2)*(SUM(InventoryPurchasing!$E$2:$E$112)-SUM(SalesRevenueAuto!$E$2:$E$40))</f>
        <v>14722.172397532981</v>
      </c>
      <c r="AZ3">
        <f>(PriceStimulation!BE2)*(SUM(InventoryPurchasing!$E$2:$E$112)-SUM(SalesRevenueAuto!$E$2:$E$40))</f>
        <v>14722.172397532981</v>
      </c>
      <c r="BA3">
        <f>(PriceStimulation!BF2)*(SUM(InventoryPurchasing!$E$2:$E$112)-SUM(SalesRevenueAuto!$E$2:$E$40))</f>
        <v>14722.172397532981</v>
      </c>
      <c r="BB3">
        <f>(PriceStimulation!BG2)*(SUM(InventoryPurchasing!$E$2:$E$112)-SUM(SalesRevenueAuto!$E$2:$E$40))</f>
        <v>14722.172397532981</v>
      </c>
      <c r="BC3">
        <f>(PriceStimulation!BH2)*(SUM(InventoryPurchasing!$E$2:$E$112)-SUM(SalesRevenueAuto!$E$2:$E$40))</f>
        <v>14722.172397532981</v>
      </c>
      <c r="BD3">
        <f>(PriceStimulation!BI2)*(SUM(InventoryPurchasing!$E$2:$E$112)-SUM(SalesRevenueAuto!$E$2:$E$40))</f>
        <v>14722.172397532981</v>
      </c>
      <c r="BE3">
        <f>(PriceStimulation!BJ2)*(SUM(InventoryPurchasing!$E$2:$E$112)-SUM(SalesRevenueAuto!$E$2:$E$40))</f>
        <v>14722.172397532981</v>
      </c>
      <c r="BF3">
        <f>(PriceStimulation!BK2)*(SUM(InventoryPurchasing!$E$2:$E$112)-SUM(SalesRevenueAuto!$E$2:$E$40))</f>
        <v>14722.172397532981</v>
      </c>
      <c r="BG3">
        <f>(PriceStimulation!BL2)*(SUM(InventoryPurchasing!$E$2:$E$112)-SUM(SalesRevenueAuto!$E$2:$E$40))</f>
        <v>14722.172397532981</v>
      </c>
      <c r="BH3">
        <f>(PriceStimulation!BM2)*(SUM(InventoryPurchasing!$E$2:$E$112)-SUM(SalesRevenueAuto!$E$2:$E$40))</f>
        <v>14722.172397532981</v>
      </c>
      <c r="BI3">
        <f>(PriceStimulation!BN2)*(SUM(InventoryPurchasing!$E$2:$E$112)-SUM(SalesRevenueAuto!$E$2:$E$40))</f>
        <v>14722.172397532981</v>
      </c>
      <c r="BJ3">
        <f>(PriceStimulation!BO2)*(SUM(InventoryPurchasing!$E$2:$E$112)-SUM(SalesRevenueAuto!$E$2:$E$40))</f>
        <v>14722.172397532981</v>
      </c>
      <c r="BK3">
        <f>(PriceStimulation!BP2)*(SUM(InventoryPurchasing!$E$2:$E$112)-SUM(SalesRevenueAuto!$E$2:$E$40))</f>
        <v>14722.172397532981</v>
      </c>
      <c r="BL3">
        <f>(PriceStimulation!BQ2)*(SUM(InventoryPurchasing!$E$2:$E$112)-SUM(SalesRevenueAuto!$E$2:$E$40))</f>
        <v>14722.172397532981</v>
      </c>
      <c r="BM3">
        <f>(PriceStimulation!BR2)*(SUM(InventoryPurchasing!$E$2:$E$112)-SUM(SalesRevenueAuto!$E$2:$E$40))</f>
        <v>14722.172397532981</v>
      </c>
      <c r="BN3">
        <f>(PriceStimulation!BS2)*(SUM(InventoryPurchasing!$E$2:$E$112)-SUM(SalesRevenueAuto!$E$2:$E$40))</f>
        <v>14722.172397532981</v>
      </c>
      <c r="BO3">
        <f>(PriceStimulation!BT2)*(SUM(InventoryPurchasing!$E$2:$E$112)-SUM(SalesRevenueAuto!$E$2:$E$40))</f>
        <v>14722.172397532981</v>
      </c>
      <c r="BP3">
        <f>(PriceStimulation!BU2)*(SUM(InventoryPurchasing!$E$2:$E$112)-SUM(SalesRevenueAuto!$E$2:$E$40))</f>
        <v>14722.172397532981</v>
      </c>
      <c r="BQ3">
        <f>(PriceStimulation!BV2)*(SUM(InventoryPurchasing!$E$2:$E$112)-SUM(SalesRevenueAuto!$E$2:$E$40))</f>
        <v>14722.172397532981</v>
      </c>
      <c r="BR3">
        <f>(PriceStimulation!BW2)*(SUM(InventoryPurchasing!$E$2:$E$112)-SUM(SalesRevenueAuto!$E$2:$E$40))</f>
        <v>14722.172397532981</v>
      </c>
      <c r="BS3">
        <f>(PriceStimulation!BX2)*(SUM(InventoryPurchasing!$E$2:$E$112)-SUM(SalesRevenueAuto!$E$2:$E$40))</f>
        <v>14722.172397532981</v>
      </c>
      <c r="BT3">
        <f>(PriceStimulation!BY2)*(SUM(InventoryPurchasing!$E$2:$E$112)-SUM(SalesRevenueAuto!$E$2:$E$40))</f>
        <v>14722.172397532981</v>
      </c>
      <c r="BU3">
        <f>(PriceStimulation!BZ2)*(SUM(InventoryPurchasing!$E$2:$E$112)-SUM(SalesRevenueAuto!$E$2:$E$40))</f>
        <v>14722.172397532981</v>
      </c>
      <c r="BV3">
        <f>(PriceStimulation!CA2)*(SUM(InventoryPurchasing!$E$2:$E$112)-SUM(SalesRevenueAuto!$E$2:$E$40))</f>
        <v>14722.172397532981</v>
      </c>
      <c r="BW3">
        <f>(PriceStimulation!CB2)*(SUM(InventoryPurchasing!$E$2:$E$112)-SUM(SalesRevenueAuto!$E$2:$E$40))</f>
        <v>14722.172397532981</v>
      </c>
      <c r="BX3">
        <f>(PriceStimulation!CC2)*(SUM(InventoryPurchasing!$E$2:$E$112)-SUM(SalesRevenueAuto!$E$2:$E$40))</f>
        <v>14722.172397532981</v>
      </c>
      <c r="BY3">
        <f>(PriceStimulation!CD2)*(SUM(InventoryPurchasing!$E$2:$E$112)-SUM(SalesRevenueAuto!$E$2:$E$40))</f>
        <v>14722.172397532981</v>
      </c>
      <c r="BZ3">
        <f>(PriceStimulation!CE2)*(SUM(InventoryPurchasing!$E$2:$E$112)-SUM(SalesRevenueAuto!$E$2:$E$40))</f>
        <v>14722.172397532981</v>
      </c>
      <c r="CA3">
        <f>(PriceStimulation!CF2)*(SUM(InventoryPurchasing!$E$2:$E$112)-SUM(SalesRevenueAuto!$E$2:$E$40))</f>
        <v>14722.172397532981</v>
      </c>
      <c r="CB3">
        <f>(PriceStimulation!CG2)*(SUM(InventoryPurchasing!$E$2:$E$112)-SUM(SalesRevenueAuto!$E$2:$E$40))</f>
        <v>14722.172397532981</v>
      </c>
      <c r="CC3">
        <f>(PriceStimulation!CH2)*(SUM(InventoryPurchasing!$E$2:$E$112)-SUM(SalesRevenueAuto!$E$2:$E$40))</f>
        <v>14722.172397532981</v>
      </c>
      <c r="CD3">
        <f>(PriceStimulation!CI2)*(SUM(InventoryPurchasing!$E$2:$E$112)-SUM(SalesRevenueAuto!$E$2:$E$40))</f>
        <v>14722.172397532981</v>
      </c>
      <c r="CE3">
        <f>(PriceStimulation!CJ2)*(SUM(InventoryPurchasing!$E$2:$E$112)-SUM(SalesRevenueAuto!$E$2:$E$40))</f>
        <v>14722.172397532981</v>
      </c>
      <c r="CF3">
        <f>(PriceStimulation!CK2)*(SUM(InventoryPurchasing!$E$2:$E$112)-SUM(SalesRevenueAuto!$E$2:$E$40))</f>
        <v>14722.172397532981</v>
      </c>
      <c r="CG3">
        <f>(PriceStimulation!CL2)*(SUM(InventoryPurchasing!$E$2:$E$112)-SUM(SalesRevenueAuto!$E$2:$E$40))</f>
        <v>14722.172397532981</v>
      </c>
      <c r="CH3">
        <f>(PriceStimulation!CM2)*(SUM(InventoryPurchasing!$E$2:$E$112)-SUM(SalesRevenueAuto!$E$2:$E$40))</f>
        <v>14722.172397532981</v>
      </c>
      <c r="CI3">
        <f>(PriceStimulation!CN2)*(SUM(InventoryPurchasing!$E$2:$E$112)-SUM(SalesRevenueAuto!$E$2:$E$40))</f>
        <v>14722.172397532981</v>
      </c>
      <c r="CJ3">
        <f>(PriceStimulation!CO2)*(SUM(InventoryPurchasing!$E$2:$E$112)-SUM(SalesRevenueAuto!$E$2:$E$40))</f>
        <v>14722.172397532981</v>
      </c>
      <c r="CK3">
        <f>(PriceStimulation!CP2)*(SUM(InventoryPurchasing!$E$2:$E$112)-SUM(SalesRevenueAuto!$E$2:$E$40))</f>
        <v>14722.172397532981</v>
      </c>
      <c r="CL3">
        <f>(PriceStimulation!CQ2)*(SUM(InventoryPurchasing!$E$2:$E$112)-SUM(SalesRevenueAuto!$E$2:$E$40))</f>
        <v>14722.172397532981</v>
      </c>
      <c r="CM3">
        <f>(PriceStimulation!CR2)*(SUM(InventoryPurchasing!$E$2:$E$112)-SUM(SalesRevenueAuto!$E$2:$E$40))</f>
        <v>14722.172397532981</v>
      </c>
      <c r="CN3">
        <f>(PriceStimulation!CS2)*(SUM(InventoryPurchasing!$E$2:$E$112)-SUM(SalesRevenueAuto!$E$2:$E$40))</f>
        <v>14722.172397532981</v>
      </c>
      <c r="CO3">
        <f>(PriceStimulation!CT2)*(SUM(InventoryPurchasing!$E$2:$E$112)-SUM(SalesRevenueAuto!$E$2:$E$40))</f>
        <v>14722.172397532981</v>
      </c>
      <c r="CP3">
        <f>(PriceStimulation!CU2)*(SUM(InventoryPurchasing!$E$2:$E$112)-SUM(SalesRevenueAuto!$E$2:$E$40))</f>
        <v>14722.172397532981</v>
      </c>
      <c r="CQ3">
        <f>(PriceStimulation!CV2)*(SUM(InventoryPurchasing!$E$2:$E$112)-SUM(SalesRevenueAuto!$E$2:$E$40))</f>
        <v>14722.172397532981</v>
      </c>
      <c r="CR3">
        <f>(PriceStimulation!CW2)*(SUM(InventoryPurchasing!$E$2:$E$112)-SUM(SalesRevenueAuto!$E$2:$E$40))</f>
        <v>14722.172397532981</v>
      </c>
      <c r="CS3">
        <f>(PriceStimulation!CX2)*(SUM(InventoryPurchasing!$E$2:$E$112)-SUM(SalesRevenueAuto!$E$2:$E$40))</f>
        <v>14722.172397532981</v>
      </c>
      <c r="CT3">
        <f>(PriceStimulation!CY2)*(SUM(InventoryPurchasing!$E$2:$E$112)-SUM(SalesRevenueAuto!$E$2:$E$40))</f>
        <v>14722.172397532981</v>
      </c>
      <c r="CU3">
        <f>(PriceStimulation!CZ2)*(SUM(InventoryPurchasing!$E$2:$E$112)-SUM(SalesRevenueAuto!$E$2:$E$40))</f>
        <v>14722.172397532981</v>
      </c>
      <c r="CV3">
        <f>(PriceStimulation!DA2)*(SUM(InventoryPurchasing!$E$2:$E$112)-SUM(SalesRevenueAuto!$E$2:$E$40))</f>
        <v>14722.172397532981</v>
      </c>
      <c r="CW3">
        <f>(PriceStimulation!DB2)*(SUM(InventoryPurchasing!$E$2:$E$112)-SUM(SalesRevenueAuto!$E$2:$E$40))</f>
        <v>14722.172397532981</v>
      </c>
      <c r="CX3">
        <f>AVERAGE(B3:CW3)</f>
        <v>14722.172397532968</v>
      </c>
      <c r="CY3">
        <f>_xlfn.PERCENTILE.INC(B3:CW3, 0.05)</f>
        <v>14722.172397532981</v>
      </c>
      <c r="CZ3">
        <f>_xlfn.PERCENTILE.INC(C3:CW3, 0.95)</f>
        <v>14722.172397532981</v>
      </c>
      <c r="DA3">
        <f>CX3-CY3</f>
        <v>0</v>
      </c>
      <c r="DB3" s="3">
        <f>DA3/CX3</f>
        <v>0</v>
      </c>
    </row>
    <row r="4" spans="1:106" x14ac:dyDescent="0.2">
      <c r="A4">
        <v>1</v>
      </c>
      <c r="B4">
        <f ca="1">(PriceStimulation!G3)*(SUM(InventoryPurchasing!$E$2:$E$112)-SUM(SalesRevenueAuto!$E$2:$E$40))</f>
        <v>14527.614551128187</v>
      </c>
      <c r="C4">
        <f ca="1">(PriceStimulation!H3)*(SUM(InventoryPurchasing!$E$2:$E$112)-SUM(SalesRevenueAuto!$E$2:$E$40))</f>
        <v>15233.054074916488</v>
      </c>
      <c r="D4">
        <f ca="1">(PriceStimulation!I3)*(SUM(InventoryPurchasing!$E$2:$E$112)-SUM(SalesRevenueAuto!$E$2:$E$40))</f>
        <v>15766.228003871101</v>
      </c>
      <c r="E4">
        <f ca="1">(PriceStimulation!J3)*(SUM(InventoryPurchasing!$E$2:$E$112)-SUM(SalesRevenueAuto!$E$2:$E$40))</f>
        <v>15373.202457634949</v>
      </c>
      <c r="F4">
        <f ca="1">(PriceStimulation!K3)*(SUM(InventoryPurchasing!$E$2:$E$112)-SUM(SalesRevenueAuto!$E$2:$E$40))</f>
        <v>14509.112475105692</v>
      </c>
      <c r="G4">
        <f ca="1">(PriceStimulation!L3)*(SUM(InventoryPurchasing!$E$2:$E$112)-SUM(SalesRevenueAuto!$E$2:$E$40))</f>
        <v>15141.018416523691</v>
      </c>
      <c r="H4">
        <f ca="1">(PriceStimulation!M3)*(SUM(InventoryPurchasing!$E$2:$E$112)-SUM(SalesRevenueAuto!$E$2:$E$40))</f>
        <v>14599.977866859759</v>
      </c>
      <c r="I4">
        <f ca="1">(PriceStimulation!N3)*(SUM(InventoryPurchasing!$E$2:$E$112)-SUM(SalesRevenueAuto!$E$2:$E$40))</f>
        <v>13907.588116997782</v>
      </c>
      <c r="J4">
        <f ca="1">(PriceStimulation!O3)*(SUM(InventoryPurchasing!$E$2:$E$112)-SUM(SalesRevenueAuto!$E$2:$E$40))</f>
        <v>14797.208618008874</v>
      </c>
      <c r="K4">
        <f ca="1">(PriceStimulation!P3)*(SUM(InventoryPurchasing!$E$2:$E$112)-SUM(SalesRevenueAuto!$E$2:$E$40))</f>
        <v>14974.943951191786</v>
      </c>
      <c r="L4">
        <f ca="1">(PriceStimulation!Q3)*(SUM(InventoryPurchasing!$E$2:$E$112)-SUM(SalesRevenueAuto!$E$2:$E$40))</f>
        <v>13847.198453185243</v>
      </c>
      <c r="M4">
        <f ca="1">(PriceStimulation!R3)*(SUM(InventoryPurchasing!$E$2:$E$112)-SUM(SalesRevenueAuto!$E$2:$E$40))</f>
        <v>14416.127335325569</v>
      </c>
      <c r="N4">
        <f ca="1">(PriceStimulation!S3)*(SUM(InventoryPurchasing!$E$2:$E$112)-SUM(SalesRevenueAuto!$E$2:$E$40))</f>
        <v>15069.418435799218</v>
      </c>
      <c r="O4">
        <f ca="1">(PriceStimulation!T3)*(SUM(InventoryPurchasing!$E$2:$E$112)-SUM(SalesRevenueAuto!$E$2:$E$40))</f>
        <v>14741.798635071527</v>
      </c>
      <c r="P4">
        <f ca="1">(PriceStimulation!U3)*(SUM(InventoryPurchasing!$E$2:$E$112)-SUM(SalesRevenueAuto!$E$2:$E$40))</f>
        <v>13995.193647854243</v>
      </c>
      <c r="Q4">
        <f ca="1">(PriceStimulation!V3)*(SUM(InventoryPurchasing!$E$2:$E$112)-SUM(SalesRevenueAuto!$E$2:$E$40))</f>
        <v>15121.967079843987</v>
      </c>
      <c r="R4">
        <f ca="1">(PriceStimulation!W3)*(SUM(InventoryPurchasing!$E$2:$E$112)-SUM(SalesRevenueAuto!$E$2:$E$40))</f>
        <v>14989.453695556105</v>
      </c>
      <c r="S4">
        <f ca="1">(PriceStimulation!X3)*(SUM(InventoryPurchasing!$E$2:$E$112)-SUM(SalesRevenueAuto!$E$2:$E$40))</f>
        <v>15702.541950141189</v>
      </c>
      <c r="T4">
        <f ca="1">(PriceStimulation!Y3)*(SUM(InventoryPurchasing!$E$2:$E$112)-SUM(SalesRevenueAuto!$E$2:$E$40))</f>
        <v>14312.154277124639</v>
      </c>
      <c r="U4">
        <f ca="1">(PriceStimulation!Z3)*(SUM(InventoryPurchasing!$E$2:$E$112)-SUM(SalesRevenueAuto!$E$2:$E$40))</f>
        <v>15052.169659219142</v>
      </c>
      <c r="V4">
        <f ca="1">(PriceStimulation!AA3)*(SUM(InventoryPurchasing!$E$2:$E$112)-SUM(SalesRevenueAuto!$E$2:$E$40))</f>
        <v>14538.841430851617</v>
      </c>
      <c r="W4">
        <f ca="1">(PriceStimulation!AB3)*(SUM(InventoryPurchasing!$E$2:$E$112)-SUM(SalesRevenueAuto!$E$2:$E$40))</f>
        <v>14194.333680131391</v>
      </c>
      <c r="X4">
        <f ca="1">(PriceStimulation!AC3)*(SUM(InventoryPurchasing!$E$2:$E$112)-SUM(SalesRevenueAuto!$E$2:$E$40))</f>
        <v>15410.477646092373</v>
      </c>
      <c r="Y4">
        <f ca="1">(PriceStimulation!AD3)*(SUM(InventoryPurchasing!$E$2:$E$112)-SUM(SalesRevenueAuto!$E$2:$E$40))</f>
        <v>15200.156812001222</v>
      </c>
      <c r="Z4">
        <f ca="1">(PriceStimulation!AE3)*(SUM(InventoryPurchasing!$E$2:$E$112)-SUM(SalesRevenueAuto!$E$2:$E$40))</f>
        <v>15211.388025420274</v>
      </c>
      <c r="AA4">
        <f ca="1">(PriceStimulation!AF3)*(SUM(InventoryPurchasing!$E$2:$E$112)-SUM(SalesRevenueAuto!$E$2:$E$40))</f>
        <v>15314.814717314472</v>
      </c>
      <c r="AB4">
        <f ca="1">(PriceStimulation!AG3)*(SUM(InventoryPurchasing!$E$2:$E$112)-SUM(SalesRevenueAuto!$E$2:$E$40))</f>
        <v>14840.018248247028</v>
      </c>
      <c r="AC4">
        <f ca="1">(PriceStimulation!AH3)*(SUM(InventoryPurchasing!$E$2:$E$112)-SUM(SalesRevenueAuto!$E$2:$E$40))</f>
        <v>14824.305880404521</v>
      </c>
      <c r="AD4">
        <f ca="1">(PriceStimulation!AI3)*(SUM(InventoryPurchasing!$E$2:$E$112)-SUM(SalesRevenueAuto!$E$2:$E$40))</f>
        <v>15256.93046270137</v>
      </c>
      <c r="AE4">
        <f ca="1">(PriceStimulation!AJ3)*(SUM(InventoryPurchasing!$E$2:$E$112)-SUM(SalesRevenueAuto!$E$2:$E$40))</f>
        <v>14627.094531762414</v>
      </c>
      <c r="AF4">
        <f ca="1">(PriceStimulation!AK3)*(SUM(InventoryPurchasing!$E$2:$E$112)-SUM(SalesRevenueAuto!$E$2:$E$40))</f>
        <v>15680.909838681066</v>
      </c>
      <c r="AG4">
        <f ca="1">(PriceStimulation!AL3)*(SUM(InventoryPurchasing!$E$2:$E$112)-SUM(SalesRevenueAuto!$E$2:$E$40))</f>
        <v>14576.198501969668</v>
      </c>
      <c r="AH4">
        <f ca="1">(PriceStimulation!AM3)*(SUM(InventoryPurchasing!$E$2:$E$112)-SUM(SalesRevenueAuto!$E$2:$E$40))</f>
        <v>14848.889758937543</v>
      </c>
      <c r="AI4">
        <f ca="1">(PriceStimulation!AN3)*(SUM(InventoryPurchasing!$E$2:$E$112)-SUM(SalesRevenueAuto!$E$2:$E$40))</f>
        <v>16240.524628172394</v>
      </c>
      <c r="AJ4">
        <f ca="1">(PriceStimulation!AO3)*(SUM(InventoryPurchasing!$E$2:$E$112)-SUM(SalesRevenueAuto!$E$2:$E$40))</f>
        <v>15230.190120392712</v>
      </c>
      <c r="AK4">
        <f ca="1">(PriceStimulation!AP3)*(SUM(InventoryPurchasing!$E$2:$E$112)-SUM(SalesRevenueAuto!$E$2:$E$40))</f>
        <v>15538.891812955564</v>
      </c>
      <c r="AL4">
        <f ca="1">(PriceStimulation!AQ3)*(SUM(InventoryPurchasing!$E$2:$E$112)-SUM(SalesRevenueAuto!$E$2:$E$40))</f>
        <v>14675.479751260347</v>
      </c>
      <c r="AM4">
        <f ca="1">(PriceStimulation!AR3)*(SUM(InventoryPurchasing!$E$2:$E$112)-SUM(SalesRevenueAuto!$E$2:$E$40))</f>
        <v>15465.671695721227</v>
      </c>
      <c r="AN4">
        <f ca="1">(PriceStimulation!AS3)*(SUM(InventoryPurchasing!$E$2:$E$112)-SUM(SalesRevenueAuto!$E$2:$E$40))</f>
        <v>14792.920212422528</v>
      </c>
      <c r="AO4">
        <f ca="1">(PriceStimulation!AT3)*(SUM(InventoryPurchasing!$E$2:$E$112)-SUM(SalesRevenueAuto!$E$2:$E$40))</f>
        <v>14380.169816302548</v>
      </c>
      <c r="AP4">
        <f ca="1">(PriceStimulation!AU3)*(SUM(InventoryPurchasing!$E$2:$E$112)-SUM(SalesRevenueAuto!$E$2:$E$40))</f>
        <v>15003.83577580774</v>
      </c>
      <c r="AQ4">
        <f ca="1">(PriceStimulation!AV3)*(SUM(InventoryPurchasing!$E$2:$E$112)-SUM(SalesRevenueAuto!$E$2:$E$40))</f>
        <v>14381.620638981727</v>
      </c>
      <c r="AR4">
        <f ca="1">(PriceStimulation!AW3)*(SUM(InventoryPurchasing!$E$2:$E$112)-SUM(SalesRevenueAuto!$E$2:$E$40))</f>
        <v>14730.98933803639</v>
      </c>
      <c r="AS4">
        <f ca="1">(PriceStimulation!AX3)*(SUM(InventoryPurchasing!$E$2:$E$112)-SUM(SalesRevenueAuto!$E$2:$E$40))</f>
        <v>15331.650233126657</v>
      </c>
      <c r="AT4">
        <f ca="1">(PriceStimulation!AY3)*(SUM(InventoryPurchasing!$E$2:$E$112)-SUM(SalesRevenueAuto!$E$2:$E$40))</f>
        <v>14851.456467588225</v>
      </c>
      <c r="AU4">
        <f ca="1">(PriceStimulation!AZ3)*(SUM(InventoryPurchasing!$E$2:$E$112)-SUM(SalesRevenueAuto!$E$2:$E$40))</f>
        <v>14832.46754332202</v>
      </c>
      <c r="AV4">
        <f ca="1">(PriceStimulation!BA3)*(SUM(InventoryPurchasing!$E$2:$E$112)-SUM(SalesRevenueAuto!$E$2:$E$40))</f>
        <v>14230.761332287831</v>
      </c>
      <c r="AW4">
        <f ca="1">(PriceStimulation!BB3)*(SUM(InventoryPurchasing!$E$2:$E$112)-SUM(SalesRevenueAuto!$E$2:$E$40))</f>
        <v>14599.288648225869</v>
      </c>
      <c r="AX4">
        <f ca="1">(PriceStimulation!BC3)*(SUM(InventoryPurchasing!$E$2:$E$112)-SUM(SalesRevenueAuto!$E$2:$E$40))</f>
        <v>14609.309972871824</v>
      </c>
      <c r="AY4">
        <f ca="1">(PriceStimulation!BD3)*(SUM(InventoryPurchasing!$E$2:$E$112)-SUM(SalesRevenueAuto!$E$2:$E$40))</f>
        <v>14459.688199966367</v>
      </c>
      <c r="AZ4">
        <f ca="1">(PriceStimulation!BE3)*(SUM(InventoryPurchasing!$E$2:$E$112)-SUM(SalesRevenueAuto!$E$2:$E$40))</f>
        <v>14430.186125787573</v>
      </c>
      <c r="BA4">
        <f ca="1">(PriceStimulation!BF3)*(SUM(InventoryPurchasing!$E$2:$E$112)-SUM(SalesRevenueAuto!$E$2:$E$40))</f>
        <v>14471.986014450815</v>
      </c>
      <c r="BB4">
        <f ca="1">(PriceStimulation!BG3)*(SUM(InventoryPurchasing!$E$2:$E$112)-SUM(SalesRevenueAuto!$E$2:$E$40))</f>
        <v>14994.158764897056</v>
      </c>
      <c r="BC4">
        <f ca="1">(PriceStimulation!BH3)*(SUM(InventoryPurchasing!$E$2:$E$112)-SUM(SalesRevenueAuto!$E$2:$E$40))</f>
        <v>15093.517618918639</v>
      </c>
      <c r="BD4">
        <f ca="1">(PriceStimulation!BI3)*(SUM(InventoryPurchasing!$E$2:$E$112)-SUM(SalesRevenueAuto!$E$2:$E$40))</f>
        <v>14841.797299546388</v>
      </c>
      <c r="BE4">
        <f ca="1">(PriceStimulation!BJ3)*(SUM(InventoryPurchasing!$E$2:$E$112)-SUM(SalesRevenueAuto!$E$2:$E$40))</f>
        <v>15216.466038618722</v>
      </c>
      <c r="BF4">
        <f ca="1">(PriceStimulation!BK3)*(SUM(InventoryPurchasing!$E$2:$E$112)-SUM(SalesRevenueAuto!$E$2:$E$40))</f>
        <v>15132.971773733334</v>
      </c>
      <c r="BG4">
        <f ca="1">(PriceStimulation!BL3)*(SUM(InventoryPurchasing!$E$2:$E$112)-SUM(SalesRevenueAuto!$E$2:$E$40))</f>
        <v>14970.12984502685</v>
      </c>
      <c r="BH4">
        <f ca="1">(PriceStimulation!BM3)*(SUM(InventoryPurchasing!$E$2:$E$112)-SUM(SalesRevenueAuto!$E$2:$E$40))</f>
        <v>15102.427870028961</v>
      </c>
      <c r="BI4">
        <f ca="1">(PriceStimulation!BN3)*(SUM(InventoryPurchasing!$E$2:$E$112)-SUM(SalesRevenueAuto!$E$2:$E$40))</f>
        <v>14418.803541209436</v>
      </c>
      <c r="BJ4">
        <f ca="1">(PriceStimulation!BO3)*(SUM(InventoryPurchasing!$E$2:$E$112)-SUM(SalesRevenueAuto!$E$2:$E$40))</f>
        <v>14786.667473510184</v>
      </c>
      <c r="BK4">
        <f ca="1">(PriceStimulation!BP3)*(SUM(InventoryPurchasing!$E$2:$E$112)-SUM(SalesRevenueAuto!$E$2:$E$40))</f>
        <v>15498.308491827524</v>
      </c>
      <c r="BL4">
        <f ca="1">(PriceStimulation!BQ3)*(SUM(InventoryPurchasing!$E$2:$E$112)-SUM(SalesRevenueAuto!$E$2:$E$40))</f>
        <v>14565.640982253373</v>
      </c>
      <c r="BM4">
        <f ca="1">(PriceStimulation!BR3)*(SUM(InventoryPurchasing!$E$2:$E$112)-SUM(SalesRevenueAuto!$E$2:$E$40))</f>
        <v>15151.003814122578</v>
      </c>
      <c r="BN4">
        <f ca="1">(PriceStimulation!BS3)*(SUM(InventoryPurchasing!$E$2:$E$112)-SUM(SalesRevenueAuto!$E$2:$E$40))</f>
        <v>14877.550497644579</v>
      </c>
      <c r="BO4">
        <f ca="1">(PriceStimulation!BT3)*(SUM(InventoryPurchasing!$E$2:$E$112)-SUM(SalesRevenueAuto!$E$2:$E$40))</f>
        <v>15025.491040481178</v>
      </c>
      <c r="BP4">
        <f ca="1">(PriceStimulation!BU3)*(SUM(InventoryPurchasing!$E$2:$E$112)-SUM(SalesRevenueAuto!$E$2:$E$40))</f>
        <v>14246.302543024482</v>
      </c>
      <c r="BQ4">
        <f ca="1">(PriceStimulation!BV3)*(SUM(InventoryPurchasing!$E$2:$E$112)-SUM(SalesRevenueAuto!$E$2:$E$40))</f>
        <v>14558.065634588062</v>
      </c>
      <c r="BR4">
        <f ca="1">(PriceStimulation!BW3)*(SUM(InventoryPurchasing!$E$2:$E$112)-SUM(SalesRevenueAuto!$E$2:$E$40))</f>
        <v>14724.155643758077</v>
      </c>
      <c r="BS4">
        <f ca="1">(PriceStimulation!BX3)*(SUM(InventoryPurchasing!$E$2:$E$112)-SUM(SalesRevenueAuto!$E$2:$E$40))</f>
        <v>14584.46192622803</v>
      </c>
      <c r="BT4">
        <f ca="1">(PriceStimulation!BY3)*(SUM(InventoryPurchasing!$E$2:$E$112)-SUM(SalesRevenueAuto!$E$2:$E$40))</f>
        <v>15130.775403775653</v>
      </c>
      <c r="BU4">
        <f ca="1">(PriceStimulation!BZ3)*(SUM(InventoryPurchasing!$E$2:$E$112)-SUM(SalesRevenueAuto!$E$2:$E$40))</f>
        <v>15445.775368777877</v>
      </c>
      <c r="BV4">
        <f ca="1">(PriceStimulation!CA3)*(SUM(InventoryPurchasing!$E$2:$E$112)-SUM(SalesRevenueAuto!$E$2:$E$40))</f>
        <v>15510.1097914237</v>
      </c>
      <c r="BW4">
        <f ca="1">(PriceStimulation!CB3)*(SUM(InventoryPurchasing!$E$2:$E$112)-SUM(SalesRevenueAuto!$E$2:$E$40))</f>
        <v>15645.822505887802</v>
      </c>
      <c r="BX4">
        <f ca="1">(PriceStimulation!CC3)*(SUM(InventoryPurchasing!$E$2:$E$112)-SUM(SalesRevenueAuto!$E$2:$E$40))</f>
        <v>14574.071131646333</v>
      </c>
      <c r="BY4">
        <f ca="1">(PriceStimulation!CD3)*(SUM(InventoryPurchasing!$E$2:$E$112)-SUM(SalesRevenueAuto!$E$2:$E$40))</f>
        <v>14602.231665434425</v>
      </c>
      <c r="BZ4">
        <f ca="1">(PriceStimulation!CE3)*(SUM(InventoryPurchasing!$E$2:$E$112)-SUM(SalesRevenueAuto!$E$2:$E$40))</f>
        <v>15253.360289369124</v>
      </c>
      <c r="CA4">
        <f ca="1">(PriceStimulation!CF3)*(SUM(InventoryPurchasing!$E$2:$E$112)-SUM(SalesRevenueAuto!$E$2:$E$40))</f>
        <v>15428.565312704859</v>
      </c>
      <c r="CB4">
        <f ca="1">(PriceStimulation!CG3)*(SUM(InventoryPurchasing!$E$2:$E$112)-SUM(SalesRevenueAuto!$E$2:$E$40))</f>
        <v>14723.473112555223</v>
      </c>
      <c r="CC4">
        <f ca="1">(PriceStimulation!CH3)*(SUM(InventoryPurchasing!$E$2:$E$112)-SUM(SalesRevenueAuto!$E$2:$E$40))</f>
        <v>15179.190920061381</v>
      </c>
      <c r="CD4">
        <f ca="1">(PriceStimulation!CI3)*(SUM(InventoryPurchasing!$E$2:$E$112)-SUM(SalesRevenueAuto!$E$2:$E$40))</f>
        <v>14485.760526032938</v>
      </c>
      <c r="CE4">
        <f ca="1">(PriceStimulation!CJ3)*(SUM(InventoryPurchasing!$E$2:$E$112)-SUM(SalesRevenueAuto!$E$2:$E$40))</f>
        <v>14754.059938441065</v>
      </c>
      <c r="CF4">
        <f ca="1">(PriceStimulation!CK3)*(SUM(InventoryPurchasing!$E$2:$E$112)-SUM(SalesRevenueAuto!$E$2:$E$40))</f>
        <v>14636.412709395712</v>
      </c>
      <c r="CG4">
        <f ca="1">(PriceStimulation!CL3)*(SUM(InventoryPurchasing!$E$2:$E$112)-SUM(SalesRevenueAuto!$E$2:$E$40))</f>
        <v>15542.336413339204</v>
      </c>
      <c r="CH4">
        <f ca="1">(PriceStimulation!CM3)*(SUM(InventoryPurchasing!$E$2:$E$112)-SUM(SalesRevenueAuto!$E$2:$E$40))</f>
        <v>15001.031750034754</v>
      </c>
      <c r="CI4">
        <f ca="1">(PriceStimulation!CN3)*(SUM(InventoryPurchasing!$E$2:$E$112)-SUM(SalesRevenueAuto!$E$2:$E$40))</f>
        <v>14827.01829643352</v>
      </c>
      <c r="CJ4">
        <f ca="1">(PriceStimulation!CO3)*(SUM(InventoryPurchasing!$E$2:$E$112)-SUM(SalesRevenueAuto!$E$2:$E$40))</f>
        <v>14862.019866571434</v>
      </c>
      <c r="CK4">
        <f ca="1">(PriceStimulation!CP3)*(SUM(InventoryPurchasing!$E$2:$E$112)-SUM(SalesRevenueAuto!$E$2:$E$40))</f>
        <v>15305.136074183181</v>
      </c>
      <c r="CL4">
        <f ca="1">(PriceStimulation!CQ3)*(SUM(InventoryPurchasing!$E$2:$E$112)-SUM(SalesRevenueAuto!$E$2:$E$40))</f>
        <v>14540.36315214322</v>
      </c>
      <c r="CM4">
        <f ca="1">(PriceStimulation!CR3)*(SUM(InventoryPurchasing!$E$2:$E$112)-SUM(SalesRevenueAuto!$E$2:$E$40))</f>
        <v>14242.069164332637</v>
      </c>
      <c r="CN4">
        <f ca="1">(PriceStimulation!CS3)*(SUM(InventoryPurchasing!$E$2:$E$112)-SUM(SalesRevenueAuto!$E$2:$E$40))</f>
        <v>14583.057515658904</v>
      </c>
      <c r="CO4">
        <f ca="1">(PriceStimulation!CT3)*(SUM(InventoryPurchasing!$E$2:$E$112)-SUM(SalesRevenueAuto!$E$2:$E$40))</f>
        <v>14691.134957494018</v>
      </c>
      <c r="CP4">
        <f ca="1">(PriceStimulation!CU3)*(SUM(InventoryPurchasing!$E$2:$E$112)-SUM(SalesRevenueAuto!$E$2:$E$40))</f>
        <v>15175.591495932413</v>
      </c>
      <c r="CQ4">
        <f ca="1">(PriceStimulation!CV3)*(SUM(InventoryPurchasing!$E$2:$E$112)-SUM(SalesRevenueAuto!$E$2:$E$40))</f>
        <v>14788.404829344505</v>
      </c>
      <c r="CR4">
        <f ca="1">(PriceStimulation!CW3)*(SUM(InventoryPurchasing!$E$2:$E$112)-SUM(SalesRevenueAuto!$E$2:$E$40))</f>
        <v>15236.682224089103</v>
      </c>
      <c r="CS4">
        <f ca="1">(PriceStimulation!CX3)*(SUM(InventoryPurchasing!$E$2:$E$112)-SUM(SalesRevenueAuto!$E$2:$E$40))</f>
        <v>14960.515999778116</v>
      </c>
      <c r="CT4">
        <f ca="1">(PriceStimulation!CY3)*(SUM(InventoryPurchasing!$E$2:$E$112)-SUM(SalesRevenueAuto!$E$2:$E$40))</f>
        <v>15226.857565350956</v>
      </c>
      <c r="CU4">
        <f ca="1">(PriceStimulation!CZ3)*(SUM(InventoryPurchasing!$E$2:$E$112)-SUM(SalesRevenueAuto!$E$2:$E$40))</f>
        <v>15216.466119025152</v>
      </c>
      <c r="CV4">
        <f ca="1">(PriceStimulation!DA3)*(SUM(InventoryPurchasing!$E$2:$E$112)-SUM(SalesRevenueAuto!$E$2:$E$40))</f>
        <v>15254.498457119049</v>
      </c>
      <c r="CW4">
        <f ca="1">(PriceStimulation!DB3)*(SUM(InventoryPurchasing!$E$2:$E$112)-SUM(SalesRevenueAuto!$E$2:$E$40))</f>
        <v>15981.265535406497</v>
      </c>
      <c r="CX4">
        <f t="shared" ref="CX4:CX15" ca="1" si="0">AVERAGE(B4:CW4)</f>
        <v>14914.513984547148</v>
      </c>
      <c r="CY4">
        <f t="shared" ref="CY4:CZ15" ca="1" si="1">_xlfn.PERCENTILE.INC(B4:CW4, 0.05)</f>
        <v>14241.503772730397</v>
      </c>
      <c r="CZ4">
        <f t="shared" ref="CZ4:CZ15" ca="1" si="2">_xlfn.PERCENTILE.INC(C4:CW4, 0.95)</f>
        <v>15649.331239167128</v>
      </c>
      <c r="DA4">
        <f t="shared" ref="DA4:DA15" ca="1" si="3">CX4-CY4</f>
        <v>673.0102118167506</v>
      </c>
      <c r="DB4" s="3">
        <f t="shared" ref="DB4:DB15" ca="1" si="4">DA4/CX4</f>
        <v>4.5124515120911958E-2</v>
      </c>
    </row>
    <row r="5" spans="1:106" x14ac:dyDescent="0.2">
      <c r="A5">
        <v>2</v>
      </c>
      <c r="B5">
        <f ca="1">(PriceStimulation!G4)*(SUM(InventoryPurchasing!$E$2:$E$112)-SUM(SalesRevenueAuto!$E$2:$E$40))</f>
        <v>14639.190204920367</v>
      </c>
      <c r="C5">
        <f ca="1">(PriceStimulation!H4)*(SUM(InventoryPurchasing!$E$2:$E$112)-SUM(SalesRevenueAuto!$E$2:$E$40))</f>
        <v>16091.528453177045</v>
      </c>
      <c r="D5">
        <f ca="1">(PriceStimulation!I4)*(SUM(InventoryPurchasing!$E$2:$E$112)-SUM(SalesRevenueAuto!$E$2:$E$40))</f>
        <v>15827.492327956488</v>
      </c>
      <c r="E5">
        <f ca="1">(PriceStimulation!J4)*(SUM(InventoryPurchasing!$E$2:$E$112)-SUM(SalesRevenueAuto!$E$2:$E$40))</f>
        <v>16018.457574349999</v>
      </c>
      <c r="F5">
        <f ca="1">(PriceStimulation!K4)*(SUM(InventoryPurchasing!$E$2:$E$112)-SUM(SalesRevenueAuto!$E$2:$E$40))</f>
        <v>14888.204891639734</v>
      </c>
      <c r="G5">
        <f ca="1">(PriceStimulation!L4)*(SUM(InventoryPurchasing!$E$2:$E$112)-SUM(SalesRevenueAuto!$E$2:$E$40))</f>
        <v>15601.668435389101</v>
      </c>
      <c r="H5">
        <f ca="1">(PriceStimulation!M4)*(SUM(InventoryPurchasing!$E$2:$E$112)-SUM(SalesRevenueAuto!$E$2:$E$40))</f>
        <v>15187.100291822704</v>
      </c>
      <c r="I5">
        <f ca="1">(PriceStimulation!N4)*(SUM(InventoryPurchasing!$E$2:$E$112)-SUM(SalesRevenueAuto!$E$2:$E$40))</f>
        <v>14692.674469142219</v>
      </c>
      <c r="J5">
        <f ca="1">(PriceStimulation!O4)*(SUM(InventoryPurchasing!$E$2:$E$112)-SUM(SalesRevenueAuto!$E$2:$E$40))</f>
        <v>15196.715547307471</v>
      </c>
      <c r="K5">
        <f ca="1">(PriceStimulation!P4)*(SUM(InventoryPurchasing!$E$2:$E$112)-SUM(SalesRevenueAuto!$E$2:$E$40))</f>
        <v>14869.153751337375</v>
      </c>
      <c r="L5">
        <f ca="1">(PriceStimulation!Q4)*(SUM(InventoryPurchasing!$E$2:$E$112)-SUM(SalesRevenueAuto!$E$2:$E$40))</f>
        <v>13860.748391940246</v>
      </c>
      <c r="M5">
        <f ca="1">(PriceStimulation!R4)*(SUM(InventoryPurchasing!$E$2:$E$112)-SUM(SalesRevenueAuto!$E$2:$E$40))</f>
        <v>15361.178397564567</v>
      </c>
      <c r="N5">
        <f ca="1">(PriceStimulation!S4)*(SUM(InventoryPurchasing!$E$2:$E$112)-SUM(SalesRevenueAuto!$E$2:$E$40))</f>
        <v>14920.771100526061</v>
      </c>
      <c r="O5">
        <f ca="1">(PriceStimulation!T4)*(SUM(InventoryPurchasing!$E$2:$E$112)-SUM(SalesRevenueAuto!$E$2:$E$40))</f>
        <v>15633.967082753494</v>
      </c>
      <c r="P5">
        <f ca="1">(PriceStimulation!U4)*(SUM(InventoryPurchasing!$E$2:$E$112)-SUM(SalesRevenueAuto!$E$2:$E$40))</f>
        <v>14153.19118256796</v>
      </c>
      <c r="Q5">
        <f ca="1">(PriceStimulation!V4)*(SUM(InventoryPurchasing!$E$2:$E$112)-SUM(SalesRevenueAuto!$E$2:$E$40))</f>
        <v>14913.084177935101</v>
      </c>
      <c r="R5">
        <f ca="1">(PriceStimulation!W4)*(SUM(InventoryPurchasing!$E$2:$E$112)-SUM(SalesRevenueAuto!$E$2:$E$40))</f>
        <v>14866.005539847762</v>
      </c>
      <c r="S5">
        <f ca="1">(PriceStimulation!X4)*(SUM(InventoryPurchasing!$E$2:$E$112)-SUM(SalesRevenueAuto!$E$2:$E$40))</f>
        <v>15878.856716439606</v>
      </c>
      <c r="T5">
        <f ca="1">(PriceStimulation!Y4)*(SUM(InventoryPurchasing!$E$2:$E$112)-SUM(SalesRevenueAuto!$E$2:$E$40))</f>
        <v>14141.237711376609</v>
      </c>
      <c r="U5">
        <f ca="1">(PriceStimulation!Z4)*(SUM(InventoryPurchasing!$E$2:$E$112)-SUM(SalesRevenueAuto!$E$2:$E$40))</f>
        <v>15484.995029908496</v>
      </c>
      <c r="V5">
        <f ca="1">(PriceStimulation!AA4)*(SUM(InventoryPurchasing!$E$2:$E$112)-SUM(SalesRevenueAuto!$E$2:$E$40))</f>
        <v>14887.669868279263</v>
      </c>
      <c r="W5">
        <f ca="1">(PriceStimulation!AB4)*(SUM(InventoryPurchasing!$E$2:$E$112)-SUM(SalesRevenueAuto!$E$2:$E$40))</f>
        <v>14565.516397624337</v>
      </c>
      <c r="X5">
        <f ca="1">(PriceStimulation!AC4)*(SUM(InventoryPurchasing!$E$2:$E$112)-SUM(SalesRevenueAuto!$E$2:$E$40))</f>
        <v>14939.479710802298</v>
      </c>
      <c r="Y5">
        <f ca="1">(PriceStimulation!AD4)*(SUM(InventoryPurchasing!$E$2:$E$112)-SUM(SalesRevenueAuto!$E$2:$E$40))</f>
        <v>15484.554262114534</v>
      </c>
      <c r="Z5">
        <f ca="1">(PriceStimulation!AE4)*(SUM(InventoryPurchasing!$E$2:$E$112)-SUM(SalesRevenueAuto!$E$2:$E$40))</f>
        <v>15557.366302225559</v>
      </c>
      <c r="AA5">
        <f ca="1">(PriceStimulation!AF4)*(SUM(InventoryPurchasing!$E$2:$E$112)-SUM(SalesRevenueAuto!$E$2:$E$40))</f>
        <v>15788.711076746222</v>
      </c>
      <c r="AB5">
        <f ca="1">(PriceStimulation!AG4)*(SUM(InventoryPurchasing!$E$2:$E$112)-SUM(SalesRevenueAuto!$E$2:$E$40))</f>
        <v>15558.125868688774</v>
      </c>
      <c r="AC5">
        <f ca="1">(PriceStimulation!AH4)*(SUM(InventoryPurchasing!$E$2:$E$112)-SUM(SalesRevenueAuto!$E$2:$E$40))</f>
        <v>14961.336094680319</v>
      </c>
      <c r="AD5">
        <f ca="1">(PriceStimulation!AI4)*(SUM(InventoryPurchasing!$E$2:$E$112)-SUM(SalesRevenueAuto!$E$2:$E$40))</f>
        <v>15540.179321611997</v>
      </c>
      <c r="AE5">
        <f ca="1">(PriceStimulation!AJ4)*(SUM(InventoryPurchasing!$E$2:$E$112)-SUM(SalesRevenueAuto!$E$2:$E$40))</f>
        <v>14632.949271393916</v>
      </c>
      <c r="AF5">
        <f ca="1">(PriceStimulation!AK4)*(SUM(InventoryPurchasing!$E$2:$E$112)-SUM(SalesRevenueAuto!$E$2:$E$40))</f>
        <v>15782.662622856184</v>
      </c>
      <c r="AG5">
        <f ca="1">(PriceStimulation!AL4)*(SUM(InventoryPurchasing!$E$2:$E$112)-SUM(SalesRevenueAuto!$E$2:$E$40))</f>
        <v>14276.766081025427</v>
      </c>
      <c r="AH5">
        <f ca="1">(PriceStimulation!AM4)*(SUM(InventoryPurchasing!$E$2:$E$112)-SUM(SalesRevenueAuto!$E$2:$E$40))</f>
        <v>15695.502286606832</v>
      </c>
      <c r="AI5">
        <f ca="1">(PriceStimulation!AN4)*(SUM(InventoryPurchasing!$E$2:$E$112)-SUM(SalesRevenueAuto!$E$2:$E$40))</f>
        <v>15735.068544583884</v>
      </c>
      <c r="AJ5">
        <f ca="1">(PriceStimulation!AO4)*(SUM(InventoryPurchasing!$E$2:$E$112)-SUM(SalesRevenueAuto!$E$2:$E$40))</f>
        <v>16621.671688026381</v>
      </c>
      <c r="AK5">
        <f ca="1">(PriceStimulation!AP4)*(SUM(InventoryPurchasing!$E$2:$E$112)-SUM(SalesRevenueAuto!$E$2:$E$40))</f>
        <v>16896.908847010018</v>
      </c>
      <c r="AL5">
        <f ca="1">(PriceStimulation!AQ4)*(SUM(InventoryPurchasing!$E$2:$E$112)-SUM(SalesRevenueAuto!$E$2:$E$40))</f>
        <v>14842.568389000415</v>
      </c>
      <c r="AM5">
        <f ca="1">(PriceStimulation!AR4)*(SUM(InventoryPurchasing!$E$2:$E$112)-SUM(SalesRevenueAuto!$E$2:$E$40))</f>
        <v>15593.662452993443</v>
      </c>
      <c r="AN5">
        <f ca="1">(PriceStimulation!AS4)*(SUM(InventoryPurchasing!$E$2:$E$112)-SUM(SalesRevenueAuto!$E$2:$E$40))</f>
        <v>14478.240854393363</v>
      </c>
      <c r="AO5">
        <f ca="1">(PriceStimulation!AT4)*(SUM(InventoryPurchasing!$E$2:$E$112)-SUM(SalesRevenueAuto!$E$2:$E$40))</f>
        <v>14248.745780025853</v>
      </c>
      <c r="AP5">
        <f ca="1">(PriceStimulation!AU4)*(SUM(InventoryPurchasing!$E$2:$E$112)-SUM(SalesRevenueAuto!$E$2:$E$40))</f>
        <v>15014.869427490772</v>
      </c>
      <c r="AQ5">
        <f ca="1">(PriceStimulation!AV4)*(SUM(InventoryPurchasing!$E$2:$E$112)-SUM(SalesRevenueAuto!$E$2:$E$40))</f>
        <v>15472.161289542302</v>
      </c>
      <c r="AR5">
        <f ca="1">(PriceStimulation!AW4)*(SUM(InventoryPurchasing!$E$2:$E$112)-SUM(SalesRevenueAuto!$E$2:$E$40))</f>
        <v>14837.63537745736</v>
      </c>
      <c r="AS5">
        <f ca="1">(PriceStimulation!AX4)*(SUM(InventoryPurchasing!$E$2:$E$112)-SUM(SalesRevenueAuto!$E$2:$E$40))</f>
        <v>15971.339311688313</v>
      </c>
      <c r="AT5">
        <f ca="1">(PriceStimulation!AY4)*(SUM(InventoryPurchasing!$E$2:$E$112)-SUM(SalesRevenueAuto!$E$2:$E$40))</f>
        <v>15004.759087407914</v>
      </c>
      <c r="AU5">
        <f ca="1">(PriceStimulation!AZ4)*(SUM(InventoryPurchasing!$E$2:$E$112)-SUM(SalesRevenueAuto!$E$2:$E$40))</f>
        <v>15128.465061530696</v>
      </c>
      <c r="AV5">
        <f ca="1">(PriceStimulation!BA4)*(SUM(InventoryPurchasing!$E$2:$E$112)-SUM(SalesRevenueAuto!$E$2:$E$40))</f>
        <v>14571.546344147402</v>
      </c>
      <c r="AW5">
        <f ca="1">(PriceStimulation!BB4)*(SUM(InventoryPurchasing!$E$2:$E$112)-SUM(SalesRevenueAuto!$E$2:$E$40))</f>
        <v>14739.327860085681</v>
      </c>
      <c r="AX5">
        <f ca="1">(PriceStimulation!BC4)*(SUM(InventoryPurchasing!$E$2:$E$112)-SUM(SalesRevenueAuto!$E$2:$E$40))</f>
        <v>14627.289902753289</v>
      </c>
      <c r="AY5">
        <f ca="1">(PriceStimulation!BD4)*(SUM(InventoryPurchasing!$E$2:$E$112)-SUM(SalesRevenueAuto!$E$2:$E$40))</f>
        <v>14634.08898673685</v>
      </c>
      <c r="AZ5">
        <f ca="1">(PriceStimulation!BE4)*(SUM(InventoryPurchasing!$E$2:$E$112)-SUM(SalesRevenueAuto!$E$2:$E$40))</f>
        <v>14283.268186762505</v>
      </c>
      <c r="BA5">
        <f ca="1">(PriceStimulation!BF4)*(SUM(InventoryPurchasing!$E$2:$E$112)-SUM(SalesRevenueAuto!$E$2:$E$40))</f>
        <v>15005.212329537177</v>
      </c>
      <c r="BB5">
        <f ca="1">(PriceStimulation!BG4)*(SUM(InventoryPurchasing!$E$2:$E$112)-SUM(SalesRevenueAuto!$E$2:$E$40))</f>
        <v>15428.181758797826</v>
      </c>
      <c r="BC5">
        <f ca="1">(PriceStimulation!BH4)*(SUM(InventoryPurchasing!$E$2:$E$112)-SUM(SalesRevenueAuto!$E$2:$E$40))</f>
        <v>15819.490930734792</v>
      </c>
      <c r="BD5">
        <f ca="1">(PriceStimulation!BI4)*(SUM(InventoryPurchasing!$E$2:$E$112)-SUM(SalesRevenueAuto!$E$2:$E$40))</f>
        <v>14759.708231626184</v>
      </c>
      <c r="BE5">
        <f ca="1">(PriceStimulation!BJ4)*(SUM(InventoryPurchasing!$E$2:$E$112)-SUM(SalesRevenueAuto!$E$2:$E$40))</f>
        <v>15026.961772126277</v>
      </c>
      <c r="BF5">
        <f ca="1">(PriceStimulation!BK4)*(SUM(InventoryPurchasing!$E$2:$E$112)-SUM(SalesRevenueAuto!$E$2:$E$40))</f>
        <v>15487.818227467822</v>
      </c>
      <c r="BG5">
        <f ca="1">(PriceStimulation!BL4)*(SUM(InventoryPurchasing!$E$2:$E$112)-SUM(SalesRevenueAuto!$E$2:$E$40))</f>
        <v>15857.08179810824</v>
      </c>
      <c r="BH5">
        <f ca="1">(PriceStimulation!BM4)*(SUM(InventoryPurchasing!$E$2:$E$112)-SUM(SalesRevenueAuto!$E$2:$E$40))</f>
        <v>14768.887058805543</v>
      </c>
      <c r="BI5">
        <f ca="1">(PriceStimulation!BN4)*(SUM(InventoryPurchasing!$E$2:$E$112)-SUM(SalesRevenueAuto!$E$2:$E$40))</f>
        <v>14964.401928678144</v>
      </c>
      <c r="BJ5">
        <f ca="1">(PriceStimulation!BO4)*(SUM(InventoryPurchasing!$E$2:$E$112)-SUM(SalesRevenueAuto!$E$2:$E$40))</f>
        <v>14646.196574184094</v>
      </c>
      <c r="BK5">
        <f ca="1">(PriceStimulation!BP4)*(SUM(InventoryPurchasing!$E$2:$E$112)-SUM(SalesRevenueAuto!$E$2:$E$40))</f>
        <v>15563.081171996138</v>
      </c>
      <c r="BL5">
        <f ca="1">(PriceStimulation!BQ4)*(SUM(InventoryPurchasing!$E$2:$E$112)-SUM(SalesRevenueAuto!$E$2:$E$40))</f>
        <v>14236.498225093519</v>
      </c>
      <c r="BM5">
        <f ca="1">(PriceStimulation!BR4)*(SUM(InventoryPurchasing!$E$2:$E$112)-SUM(SalesRevenueAuto!$E$2:$E$40))</f>
        <v>15256.678521710692</v>
      </c>
      <c r="BN5">
        <f ca="1">(PriceStimulation!BS4)*(SUM(InventoryPurchasing!$E$2:$E$112)-SUM(SalesRevenueAuto!$E$2:$E$40))</f>
        <v>15342.153834154507</v>
      </c>
      <c r="BO5">
        <f ca="1">(PriceStimulation!BT4)*(SUM(InventoryPurchasing!$E$2:$E$112)-SUM(SalesRevenueAuto!$E$2:$E$40))</f>
        <v>15364.262286151472</v>
      </c>
      <c r="BP5">
        <f ca="1">(PriceStimulation!BU4)*(SUM(InventoryPurchasing!$E$2:$E$112)-SUM(SalesRevenueAuto!$E$2:$E$40))</f>
        <v>13849.242337335203</v>
      </c>
      <c r="BQ5">
        <f ca="1">(PriceStimulation!BV4)*(SUM(InventoryPurchasing!$E$2:$E$112)-SUM(SalesRevenueAuto!$E$2:$E$40))</f>
        <v>14710.286167586999</v>
      </c>
      <c r="BR5">
        <f ca="1">(PriceStimulation!BW4)*(SUM(InventoryPurchasing!$E$2:$E$112)-SUM(SalesRevenueAuto!$E$2:$E$40))</f>
        <v>14538.321366797862</v>
      </c>
      <c r="BS5">
        <f ca="1">(PriceStimulation!BX4)*(SUM(InventoryPurchasing!$E$2:$E$112)-SUM(SalesRevenueAuto!$E$2:$E$40))</f>
        <v>14417.99712915103</v>
      </c>
      <c r="BT5">
        <f ca="1">(PriceStimulation!BY4)*(SUM(InventoryPurchasing!$E$2:$E$112)-SUM(SalesRevenueAuto!$E$2:$E$40))</f>
        <v>15492.015778291861</v>
      </c>
      <c r="BU5">
        <f ca="1">(PriceStimulation!BZ4)*(SUM(InventoryPurchasing!$E$2:$E$112)-SUM(SalesRevenueAuto!$E$2:$E$40))</f>
        <v>15332.351313413059</v>
      </c>
      <c r="BV5">
        <f ca="1">(PriceStimulation!CA4)*(SUM(InventoryPurchasing!$E$2:$E$112)-SUM(SalesRevenueAuto!$E$2:$E$40))</f>
        <v>16364.098688566361</v>
      </c>
      <c r="BW5">
        <f ca="1">(PriceStimulation!CB4)*(SUM(InventoryPurchasing!$E$2:$E$112)-SUM(SalesRevenueAuto!$E$2:$E$40))</f>
        <v>16311.0435108739</v>
      </c>
      <c r="BX5">
        <f ca="1">(PriceStimulation!CC4)*(SUM(InventoryPurchasing!$E$2:$E$112)-SUM(SalesRevenueAuto!$E$2:$E$40))</f>
        <v>14582.330435029504</v>
      </c>
      <c r="BY5">
        <f ca="1">(PriceStimulation!CD4)*(SUM(InventoryPurchasing!$E$2:$E$112)-SUM(SalesRevenueAuto!$E$2:$E$40))</f>
        <v>14343.934540552154</v>
      </c>
      <c r="BZ5">
        <f ca="1">(PriceStimulation!CE4)*(SUM(InventoryPurchasing!$E$2:$E$112)-SUM(SalesRevenueAuto!$E$2:$E$40))</f>
        <v>14845.946426854798</v>
      </c>
      <c r="CA5">
        <f ca="1">(PriceStimulation!CF4)*(SUM(InventoryPurchasing!$E$2:$E$112)-SUM(SalesRevenueAuto!$E$2:$E$40))</f>
        <v>15753.936908239724</v>
      </c>
      <c r="CB5">
        <f ca="1">(PriceStimulation!CG4)*(SUM(InventoryPurchasing!$E$2:$E$112)-SUM(SalesRevenueAuto!$E$2:$E$40))</f>
        <v>14816.841353837723</v>
      </c>
      <c r="CC5">
        <f ca="1">(PriceStimulation!CH4)*(SUM(InventoryPurchasing!$E$2:$E$112)-SUM(SalesRevenueAuto!$E$2:$E$40))</f>
        <v>15109.605887586571</v>
      </c>
      <c r="CD5">
        <f ca="1">(PriceStimulation!CI4)*(SUM(InventoryPurchasing!$E$2:$E$112)-SUM(SalesRevenueAuto!$E$2:$E$40))</f>
        <v>14338.042794387809</v>
      </c>
      <c r="CE5">
        <f ca="1">(PriceStimulation!CJ4)*(SUM(InventoryPurchasing!$E$2:$E$112)-SUM(SalesRevenueAuto!$E$2:$E$40))</f>
        <v>14705.425437340595</v>
      </c>
      <c r="CF5">
        <f ca="1">(PriceStimulation!CK4)*(SUM(InventoryPurchasing!$E$2:$E$112)-SUM(SalesRevenueAuto!$E$2:$E$40))</f>
        <v>15260.355891988422</v>
      </c>
      <c r="CG5">
        <f ca="1">(PriceStimulation!CL4)*(SUM(InventoryPurchasing!$E$2:$E$112)-SUM(SalesRevenueAuto!$E$2:$E$40))</f>
        <v>16934.814498421423</v>
      </c>
      <c r="CH5">
        <f ca="1">(PriceStimulation!CM4)*(SUM(InventoryPurchasing!$E$2:$E$112)-SUM(SalesRevenueAuto!$E$2:$E$40))</f>
        <v>15192.120741963907</v>
      </c>
      <c r="CI5">
        <f ca="1">(PriceStimulation!CN4)*(SUM(InventoryPurchasing!$E$2:$E$112)-SUM(SalesRevenueAuto!$E$2:$E$40))</f>
        <v>15350.504473912553</v>
      </c>
      <c r="CJ5">
        <f ca="1">(PriceStimulation!CO4)*(SUM(InventoryPurchasing!$E$2:$E$112)-SUM(SalesRevenueAuto!$E$2:$E$40))</f>
        <v>15377.954909564251</v>
      </c>
      <c r="CK5">
        <f ca="1">(PriceStimulation!CP4)*(SUM(InventoryPurchasing!$E$2:$E$112)-SUM(SalesRevenueAuto!$E$2:$E$40))</f>
        <v>15036.838558201467</v>
      </c>
      <c r="CL5">
        <f ca="1">(PriceStimulation!CQ4)*(SUM(InventoryPurchasing!$E$2:$E$112)-SUM(SalesRevenueAuto!$E$2:$E$40))</f>
        <v>14432.176239093187</v>
      </c>
      <c r="CM5">
        <f ca="1">(PriceStimulation!CR4)*(SUM(InventoryPurchasing!$E$2:$E$112)-SUM(SalesRevenueAuto!$E$2:$E$40))</f>
        <v>13831.855256046103</v>
      </c>
      <c r="CN5">
        <f ca="1">(PriceStimulation!CS4)*(SUM(InventoryPurchasing!$E$2:$E$112)-SUM(SalesRevenueAuto!$E$2:$E$40))</f>
        <v>14013.093792576901</v>
      </c>
      <c r="CO5">
        <f ca="1">(PriceStimulation!CT4)*(SUM(InventoryPurchasing!$E$2:$E$112)-SUM(SalesRevenueAuto!$E$2:$E$40))</f>
        <v>14982.108085284648</v>
      </c>
      <c r="CP5">
        <f ca="1">(PriceStimulation!CU4)*(SUM(InventoryPurchasing!$E$2:$E$112)-SUM(SalesRevenueAuto!$E$2:$E$40))</f>
        <v>16543.665559539728</v>
      </c>
      <c r="CQ5">
        <f ca="1">(PriceStimulation!CV4)*(SUM(InventoryPurchasing!$E$2:$E$112)-SUM(SalesRevenueAuto!$E$2:$E$40))</f>
        <v>14864.450903520286</v>
      </c>
      <c r="CR5">
        <f ca="1">(PriceStimulation!CW4)*(SUM(InventoryPurchasing!$E$2:$E$112)-SUM(SalesRevenueAuto!$E$2:$E$40))</f>
        <v>14619.121361784697</v>
      </c>
      <c r="CS5">
        <f ca="1">(PriceStimulation!CX4)*(SUM(InventoryPurchasing!$E$2:$E$112)-SUM(SalesRevenueAuto!$E$2:$E$40))</f>
        <v>14544.794436702456</v>
      </c>
      <c r="CT5">
        <f ca="1">(PriceStimulation!CY4)*(SUM(InventoryPurchasing!$E$2:$E$112)-SUM(SalesRevenueAuto!$E$2:$E$40))</f>
        <v>15692.792380405741</v>
      </c>
      <c r="CU5">
        <f ca="1">(PriceStimulation!CZ4)*(SUM(InventoryPurchasing!$E$2:$E$112)-SUM(SalesRevenueAuto!$E$2:$E$40))</f>
        <v>15451.541625934218</v>
      </c>
      <c r="CV5">
        <f ca="1">(PriceStimulation!DA4)*(SUM(InventoryPurchasing!$E$2:$E$112)-SUM(SalesRevenueAuto!$E$2:$E$40))</f>
        <v>15924.863997807755</v>
      </c>
      <c r="CW5">
        <f ca="1">(PriceStimulation!DB4)*(SUM(InventoryPurchasing!$E$2:$E$112)-SUM(SalesRevenueAuto!$E$2:$E$40))</f>
        <v>16490.801432838609</v>
      </c>
      <c r="CX5">
        <f t="shared" ca="1" si="0"/>
        <v>15141.805467047985</v>
      </c>
      <c r="CY5">
        <f t="shared" ca="1" si="1"/>
        <v>14152.593509008393</v>
      </c>
      <c r="CZ5">
        <f t="shared" ca="1" si="2"/>
        <v>16376.768962993585</v>
      </c>
      <c r="DA5">
        <f t="shared" ca="1" si="3"/>
        <v>989.21195803959199</v>
      </c>
      <c r="DB5" s="3">
        <f t="shared" ca="1" si="4"/>
        <v>6.5329855161086456E-2</v>
      </c>
    </row>
    <row r="6" spans="1:106" x14ac:dyDescent="0.2">
      <c r="A6">
        <v>3</v>
      </c>
      <c r="B6">
        <f ca="1">(PriceStimulation!G5)*(SUM(InventoryPurchasing!$E$2:$E$112)-SUM(SalesRevenueAuto!$E$2:$E$40))</f>
        <v>14347.455452514932</v>
      </c>
      <c r="C6">
        <f ca="1">(PriceStimulation!H5)*(SUM(InventoryPurchasing!$E$2:$E$112)-SUM(SalesRevenueAuto!$E$2:$E$40))</f>
        <v>15560.99834448312</v>
      </c>
      <c r="D6">
        <f ca="1">(PriceStimulation!I5)*(SUM(InventoryPurchasing!$E$2:$E$112)-SUM(SalesRevenueAuto!$E$2:$E$40))</f>
        <v>15745.454914721226</v>
      </c>
      <c r="E6">
        <f ca="1">(PriceStimulation!J5)*(SUM(InventoryPurchasing!$E$2:$E$112)-SUM(SalesRevenueAuto!$E$2:$E$40))</f>
        <v>16211.585832060193</v>
      </c>
      <c r="F6">
        <f ca="1">(PriceStimulation!K5)*(SUM(InventoryPurchasing!$E$2:$E$112)-SUM(SalesRevenueAuto!$E$2:$E$40))</f>
        <v>15425.107036822026</v>
      </c>
      <c r="G6">
        <f ca="1">(PriceStimulation!L5)*(SUM(InventoryPurchasing!$E$2:$E$112)-SUM(SalesRevenueAuto!$E$2:$E$40))</f>
        <v>16202.134860692695</v>
      </c>
      <c r="H6">
        <f ca="1">(PriceStimulation!M5)*(SUM(InventoryPurchasing!$E$2:$E$112)-SUM(SalesRevenueAuto!$E$2:$E$40))</f>
        <v>15275.667482700734</v>
      </c>
      <c r="I6">
        <f ca="1">(PriceStimulation!N5)*(SUM(InventoryPurchasing!$E$2:$E$112)-SUM(SalesRevenueAuto!$E$2:$E$40))</f>
        <v>15295.086824114765</v>
      </c>
      <c r="J6">
        <f ca="1">(PriceStimulation!O5)*(SUM(InventoryPurchasing!$E$2:$E$112)-SUM(SalesRevenueAuto!$E$2:$E$40))</f>
        <v>14613.824455716507</v>
      </c>
      <c r="K6">
        <f ca="1">(PriceStimulation!P5)*(SUM(InventoryPurchasing!$E$2:$E$112)-SUM(SalesRevenueAuto!$E$2:$E$40))</f>
        <v>15957.253713337446</v>
      </c>
      <c r="L6">
        <f ca="1">(PriceStimulation!Q5)*(SUM(InventoryPurchasing!$E$2:$E$112)-SUM(SalesRevenueAuto!$E$2:$E$40))</f>
        <v>13965.802345349737</v>
      </c>
      <c r="M6">
        <f ca="1">(PriceStimulation!R5)*(SUM(InventoryPurchasing!$E$2:$E$112)-SUM(SalesRevenueAuto!$E$2:$E$40))</f>
        <v>15842.967490996318</v>
      </c>
      <c r="N6">
        <f ca="1">(PriceStimulation!S5)*(SUM(InventoryPurchasing!$E$2:$E$112)-SUM(SalesRevenueAuto!$E$2:$E$40))</f>
        <v>14837.934971708404</v>
      </c>
      <c r="O6">
        <f ca="1">(PriceStimulation!T5)*(SUM(InventoryPurchasing!$E$2:$E$112)-SUM(SalesRevenueAuto!$E$2:$E$40))</f>
        <v>16074.063615963458</v>
      </c>
      <c r="P6">
        <f ca="1">(PriceStimulation!U5)*(SUM(InventoryPurchasing!$E$2:$E$112)-SUM(SalesRevenueAuto!$E$2:$E$40))</f>
        <v>14231.161075464288</v>
      </c>
      <c r="Q6">
        <f ca="1">(PriceStimulation!V5)*(SUM(InventoryPurchasing!$E$2:$E$112)-SUM(SalesRevenueAuto!$E$2:$E$40))</f>
        <v>15379.8384751865</v>
      </c>
      <c r="R6">
        <f ca="1">(PriceStimulation!W5)*(SUM(InventoryPurchasing!$E$2:$E$112)-SUM(SalesRevenueAuto!$E$2:$E$40))</f>
        <v>15423.709550323822</v>
      </c>
      <c r="S6">
        <f ca="1">(PriceStimulation!X5)*(SUM(InventoryPurchasing!$E$2:$E$112)-SUM(SalesRevenueAuto!$E$2:$E$40))</f>
        <v>15941.930801632418</v>
      </c>
      <c r="T6">
        <f ca="1">(PriceStimulation!Y5)*(SUM(InventoryPurchasing!$E$2:$E$112)-SUM(SalesRevenueAuto!$E$2:$E$40))</f>
        <v>14370.771489808041</v>
      </c>
      <c r="U6">
        <f ca="1">(PriceStimulation!Z5)*(SUM(InventoryPurchasing!$E$2:$E$112)-SUM(SalesRevenueAuto!$E$2:$E$40))</f>
        <v>15104.850924029703</v>
      </c>
      <c r="V6">
        <f ca="1">(PriceStimulation!AA5)*(SUM(InventoryPurchasing!$E$2:$E$112)-SUM(SalesRevenueAuto!$E$2:$E$40))</f>
        <v>15052.866749930743</v>
      </c>
      <c r="W6">
        <f ca="1">(PriceStimulation!AB5)*(SUM(InventoryPurchasing!$E$2:$E$112)-SUM(SalesRevenueAuto!$E$2:$E$40))</f>
        <v>14633.726335994612</v>
      </c>
      <c r="X6">
        <f ca="1">(PriceStimulation!AC5)*(SUM(InventoryPurchasing!$E$2:$E$112)-SUM(SalesRevenueAuto!$E$2:$E$40))</f>
        <v>14764.400113225662</v>
      </c>
      <c r="Y6">
        <f ca="1">(PriceStimulation!AD5)*(SUM(InventoryPurchasing!$E$2:$E$112)-SUM(SalesRevenueAuto!$E$2:$E$40))</f>
        <v>14847.333873830657</v>
      </c>
      <c r="Z6">
        <f ca="1">(PriceStimulation!AE5)*(SUM(InventoryPurchasing!$E$2:$E$112)-SUM(SalesRevenueAuto!$E$2:$E$40))</f>
        <v>15656.386824236171</v>
      </c>
      <c r="AA6">
        <f ca="1">(PriceStimulation!AF5)*(SUM(InventoryPurchasing!$E$2:$E$112)-SUM(SalesRevenueAuto!$E$2:$E$40))</f>
        <v>15677.930022182256</v>
      </c>
      <c r="AB6">
        <f ca="1">(PriceStimulation!AG5)*(SUM(InventoryPurchasing!$E$2:$E$112)-SUM(SalesRevenueAuto!$E$2:$E$40))</f>
        <v>15840.965364606591</v>
      </c>
      <c r="AC6">
        <f ca="1">(PriceStimulation!AH5)*(SUM(InventoryPurchasing!$E$2:$E$112)-SUM(SalesRevenueAuto!$E$2:$E$40))</f>
        <v>15266.494503031978</v>
      </c>
      <c r="AD6">
        <f ca="1">(PriceStimulation!AI5)*(SUM(InventoryPurchasing!$E$2:$E$112)-SUM(SalesRevenueAuto!$E$2:$E$40))</f>
        <v>15634.189133181202</v>
      </c>
      <c r="AE6">
        <f ca="1">(PriceStimulation!AJ5)*(SUM(InventoryPurchasing!$E$2:$E$112)-SUM(SalesRevenueAuto!$E$2:$E$40))</f>
        <v>15201.784550628619</v>
      </c>
      <c r="AF6">
        <f ca="1">(PriceStimulation!AK5)*(SUM(InventoryPurchasing!$E$2:$E$112)-SUM(SalesRevenueAuto!$E$2:$E$40))</f>
        <v>15974.820828530621</v>
      </c>
      <c r="AG6">
        <f ca="1">(PriceStimulation!AL5)*(SUM(InventoryPurchasing!$E$2:$E$112)-SUM(SalesRevenueAuto!$E$2:$E$40))</f>
        <v>14095.987907920844</v>
      </c>
      <c r="AH6">
        <f ca="1">(PriceStimulation!AM5)*(SUM(InventoryPurchasing!$E$2:$E$112)-SUM(SalesRevenueAuto!$E$2:$E$40))</f>
        <v>16035.974180716725</v>
      </c>
      <c r="AI6">
        <f ca="1">(PriceStimulation!AN5)*(SUM(InventoryPurchasing!$E$2:$E$112)-SUM(SalesRevenueAuto!$E$2:$E$40))</f>
        <v>15688.183466032906</v>
      </c>
      <c r="AJ6">
        <f ca="1">(PriceStimulation!AO5)*(SUM(InventoryPurchasing!$E$2:$E$112)-SUM(SalesRevenueAuto!$E$2:$E$40))</f>
        <v>16999.214500723108</v>
      </c>
      <c r="AK6">
        <f ca="1">(PriceStimulation!AP5)*(SUM(InventoryPurchasing!$E$2:$E$112)-SUM(SalesRevenueAuto!$E$2:$E$40))</f>
        <v>17135.020329136034</v>
      </c>
      <c r="AL6">
        <f ca="1">(PriceStimulation!AQ5)*(SUM(InventoryPurchasing!$E$2:$E$112)-SUM(SalesRevenueAuto!$E$2:$E$40))</f>
        <v>14457.827042692328</v>
      </c>
      <c r="AM6">
        <f ca="1">(PriceStimulation!AR5)*(SUM(InventoryPurchasing!$E$2:$E$112)-SUM(SalesRevenueAuto!$E$2:$E$40))</f>
        <v>15752.553223799408</v>
      </c>
      <c r="AN6">
        <f ca="1">(PriceStimulation!AS5)*(SUM(InventoryPurchasing!$E$2:$E$112)-SUM(SalesRevenueAuto!$E$2:$E$40))</f>
        <v>14375.242776554143</v>
      </c>
      <c r="AO6">
        <f ca="1">(PriceStimulation!AT5)*(SUM(InventoryPurchasing!$E$2:$E$112)-SUM(SalesRevenueAuto!$E$2:$E$40))</f>
        <v>14249.318980628172</v>
      </c>
      <c r="AP6">
        <f ca="1">(PriceStimulation!AU5)*(SUM(InventoryPurchasing!$E$2:$E$112)-SUM(SalesRevenueAuto!$E$2:$E$40))</f>
        <v>15125.153754215255</v>
      </c>
      <c r="AQ6">
        <f ca="1">(PriceStimulation!AV5)*(SUM(InventoryPurchasing!$E$2:$E$112)-SUM(SalesRevenueAuto!$E$2:$E$40))</f>
        <v>15497.482924909338</v>
      </c>
      <c r="AR6">
        <f ca="1">(PriceStimulation!AW5)*(SUM(InventoryPurchasing!$E$2:$E$112)-SUM(SalesRevenueAuto!$E$2:$E$40))</f>
        <v>15514.653820697196</v>
      </c>
      <c r="AS6">
        <f ca="1">(PriceStimulation!AX5)*(SUM(InventoryPurchasing!$E$2:$E$112)-SUM(SalesRevenueAuto!$E$2:$E$40))</f>
        <v>16883.425280413892</v>
      </c>
      <c r="AT6">
        <f ca="1">(PriceStimulation!AY5)*(SUM(InventoryPurchasing!$E$2:$E$112)-SUM(SalesRevenueAuto!$E$2:$E$40))</f>
        <v>15025.83687285932</v>
      </c>
      <c r="AU6">
        <f ca="1">(PriceStimulation!AZ5)*(SUM(InventoryPurchasing!$E$2:$E$112)-SUM(SalesRevenueAuto!$E$2:$E$40))</f>
        <v>15500.219278058747</v>
      </c>
      <c r="AV6">
        <f ca="1">(PriceStimulation!BA5)*(SUM(InventoryPurchasing!$E$2:$E$112)-SUM(SalesRevenueAuto!$E$2:$E$40))</f>
        <v>14847.988052391218</v>
      </c>
      <c r="AW6">
        <f ca="1">(PriceStimulation!BB5)*(SUM(InventoryPurchasing!$E$2:$E$112)-SUM(SalesRevenueAuto!$E$2:$E$40))</f>
        <v>15375.462378284345</v>
      </c>
      <c r="AX6">
        <f ca="1">(PriceStimulation!BC5)*(SUM(InventoryPurchasing!$E$2:$E$112)-SUM(SalesRevenueAuto!$E$2:$E$40))</f>
        <v>14902.620622330567</v>
      </c>
      <c r="AY6">
        <f ca="1">(PriceStimulation!BD5)*(SUM(InventoryPurchasing!$E$2:$E$112)-SUM(SalesRevenueAuto!$E$2:$E$40))</f>
        <v>14962.766846026994</v>
      </c>
      <c r="AZ6">
        <f ca="1">(PriceStimulation!BE5)*(SUM(InventoryPurchasing!$E$2:$E$112)-SUM(SalesRevenueAuto!$E$2:$E$40))</f>
        <v>14233.09761135147</v>
      </c>
      <c r="BA6">
        <f ca="1">(PriceStimulation!BF5)*(SUM(InventoryPurchasing!$E$2:$E$112)-SUM(SalesRevenueAuto!$E$2:$E$40))</f>
        <v>15366.859576142033</v>
      </c>
      <c r="BB6">
        <f ca="1">(PriceStimulation!BG5)*(SUM(InventoryPurchasing!$E$2:$E$112)-SUM(SalesRevenueAuto!$E$2:$E$40))</f>
        <v>16518.939916847208</v>
      </c>
      <c r="BC6">
        <f ca="1">(PriceStimulation!BH5)*(SUM(InventoryPurchasing!$E$2:$E$112)-SUM(SalesRevenueAuto!$E$2:$E$40))</f>
        <v>15599.689680183279</v>
      </c>
      <c r="BD6">
        <f ca="1">(PriceStimulation!BI5)*(SUM(InventoryPurchasing!$E$2:$E$112)-SUM(SalesRevenueAuto!$E$2:$E$40))</f>
        <v>14745.895100182204</v>
      </c>
      <c r="BE6">
        <f ca="1">(PriceStimulation!BJ5)*(SUM(InventoryPurchasing!$E$2:$E$112)-SUM(SalesRevenueAuto!$E$2:$E$40))</f>
        <v>15531.47643398362</v>
      </c>
      <c r="BF6">
        <f ca="1">(PriceStimulation!BK5)*(SUM(InventoryPurchasing!$E$2:$E$112)-SUM(SalesRevenueAuto!$E$2:$E$40))</f>
        <v>16060.564565588935</v>
      </c>
      <c r="BG6">
        <f ca="1">(PriceStimulation!BL5)*(SUM(InventoryPurchasing!$E$2:$E$112)-SUM(SalesRevenueAuto!$E$2:$E$40))</f>
        <v>16450.560882115842</v>
      </c>
      <c r="BH6">
        <f ca="1">(PriceStimulation!BM5)*(SUM(InventoryPurchasing!$E$2:$E$112)-SUM(SalesRevenueAuto!$E$2:$E$40))</f>
        <v>15077.555141336026</v>
      </c>
      <c r="BI6">
        <f ca="1">(PriceStimulation!BN5)*(SUM(InventoryPurchasing!$E$2:$E$112)-SUM(SalesRevenueAuto!$E$2:$E$40))</f>
        <v>15459.60580730828</v>
      </c>
      <c r="BJ6">
        <f ca="1">(PriceStimulation!BO5)*(SUM(InventoryPurchasing!$E$2:$E$112)-SUM(SalesRevenueAuto!$E$2:$E$40))</f>
        <v>14696.340971719994</v>
      </c>
      <c r="BK6">
        <f ca="1">(PriceStimulation!BP5)*(SUM(InventoryPurchasing!$E$2:$E$112)-SUM(SalesRevenueAuto!$E$2:$E$40))</f>
        <v>15690.982115448891</v>
      </c>
      <c r="BL6">
        <f ca="1">(PriceStimulation!BQ5)*(SUM(InventoryPurchasing!$E$2:$E$112)-SUM(SalesRevenueAuto!$E$2:$E$40))</f>
        <v>13624.902468193977</v>
      </c>
      <c r="BM6">
        <f ca="1">(PriceStimulation!BR5)*(SUM(InventoryPurchasing!$E$2:$E$112)-SUM(SalesRevenueAuto!$E$2:$E$40))</f>
        <v>15890.077621613904</v>
      </c>
      <c r="BN6">
        <f ca="1">(PriceStimulation!BS5)*(SUM(InventoryPurchasing!$E$2:$E$112)-SUM(SalesRevenueAuto!$E$2:$E$40))</f>
        <v>14695.070186294037</v>
      </c>
      <c r="BO6">
        <f ca="1">(PriceStimulation!BT5)*(SUM(InventoryPurchasing!$E$2:$E$112)-SUM(SalesRevenueAuto!$E$2:$E$40))</f>
        <v>15314.528488323944</v>
      </c>
      <c r="BP6">
        <f ca="1">(PriceStimulation!BU5)*(SUM(InventoryPurchasing!$E$2:$E$112)-SUM(SalesRevenueAuto!$E$2:$E$40))</f>
        <v>14108.404057205142</v>
      </c>
      <c r="BQ6">
        <f ca="1">(PriceStimulation!BV5)*(SUM(InventoryPurchasing!$E$2:$E$112)-SUM(SalesRevenueAuto!$E$2:$E$40))</f>
        <v>15608.24788691952</v>
      </c>
      <c r="BR6">
        <f ca="1">(PriceStimulation!BW5)*(SUM(InventoryPurchasing!$E$2:$E$112)-SUM(SalesRevenueAuto!$E$2:$E$40))</f>
        <v>15383.434702372682</v>
      </c>
      <c r="BS6">
        <f ca="1">(PriceStimulation!BX5)*(SUM(InventoryPurchasing!$E$2:$E$112)-SUM(SalesRevenueAuto!$E$2:$E$40))</f>
        <v>15036.423329677513</v>
      </c>
      <c r="BT6">
        <f ca="1">(PriceStimulation!BY5)*(SUM(InventoryPurchasing!$E$2:$E$112)-SUM(SalesRevenueAuto!$E$2:$E$40))</f>
        <v>15704.420671085683</v>
      </c>
      <c r="BU6">
        <f ca="1">(PriceStimulation!BZ5)*(SUM(InventoryPurchasing!$E$2:$E$112)-SUM(SalesRevenueAuto!$E$2:$E$40))</f>
        <v>15551.106985984761</v>
      </c>
      <c r="BV6">
        <f ca="1">(PriceStimulation!CA5)*(SUM(InventoryPurchasing!$E$2:$E$112)-SUM(SalesRevenueAuto!$E$2:$E$40))</f>
        <v>17146.205827864502</v>
      </c>
      <c r="BW6">
        <f ca="1">(PriceStimulation!CB5)*(SUM(InventoryPurchasing!$E$2:$E$112)-SUM(SalesRevenueAuto!$E$2:$E$40))</f>
        <v>16013.471725240461</v>
      </c>
      <c r="BX6">
        <f ca="1">(PriceStimulation!CC5)*(SUM(InventoryPurchasing!$E$2:$E$112)-SUM(SalesRevenueAuto!$E$2:$E$40))</f>
        <v>15378.471049043817</v>
      </c>
      <c r="BY6">
        <f ca="1">(PriceStimulation!CD5)*(SUM(InventoryPurchasing!$E$2:$E$112)-SUM(SalesRevenueAuto!$E$2:$E$40))</f>
        <v>14511.190442942871</v>
      </c>
      <c r="BZ6">
        <f ca="1">(PriceStimulation!CE5)*(SUM(InventoryPurchasing!$E$2:$E$112)-SUM(SalesRevenueAuto!$E$2:$E$40))</f>
        <v>13883.107291241366</v>
      </c>
      <c r="CA6">
        <f ca="1">(PriceStimulation!CF5)*(SUM(InventoryPurchasing!$E$2:$E$112)-SUM(SalesRevenueAuto!$E$2:$E$40))</f>
        <v>15537.870015142558</v>
      </c>
      <c r="CB6">
        <f ca="1">(PriceStimulation!CG5)*(SUM(InventoryPurchasing!$E$2:$E$112)-SUM(SalesRevenueAuto!$E$2:$E$40))</f>
        <v>14594.921708148142</v>
      </c>
      <c r="CC6">
        <f ca="1">(PriceStimulation!CH5)*(SUM(InventoryPurchasing!$E$2:$E$112)-SUM(SalesRevenueAuto!$E$2:$E$40))</f>
        <v>14659.151144654688</v>
      </c>
      <c r="CD6">
        <f ca="1">(PriceStimulation!CI5)*(SUM(InventoryPurchasing!$E$2:$E$112)-SUM(SalesRevenueAuto!$E$2:$E$40))</f>
        <v>14275.623631715744</v>
      </c>
      <c r="CE6">
        <f ca="1">(PriceStimulation!CJ5)*(SUM(InventoryPurchasing!$E$2:$E$112)-SUM(SalesRevenueAuto!$E$2:$E$40))</f>
        <v>15215.738942225582</v>
      </c>
      <c r="CF6">
        <f ca="1">(PriceStimulation!CK5)*(SUM(InventoryPurchasing!$E$2:$E$112)-SUM(SalesRevenueAuto!$E$2:$E$40))</f>
        <v>14685.646590119575</v>
      </c>
      <c r="CG6">
        <f ca="1">(PriceStimulation!CL5)*(SUM(InventoryPurchasing!$E$2:$E$112)-SUM(SalesRevenueAuto!$E$2:$E$40))</f>
        <v>15831.064626134506</v>
      </c>
      <c r="CH6">
        <f ca="1">(PriceStimulation!CM5)*(SUM(InventoryPurchasing!$E$2:$E$112)-SUM(SalesRevenueAuto!$E$2:$E$40))</f>
        <v>15415.050652641841</v>
      </c>
      <c r="CI6">
        <f ca="1">(PriceStimulation!CN5)*(SUM(InventoryPurchasing!$E$2:$E$112)-SUM(SalesRevenueAuto!$E$2:$E$40))</f>
        <v>14895.005790706889</v>
      </c>
      <c r="CJ6">
        <f ca="1">(PriceStimulation!CO5)*(SUM(InventoryPurchasing!$E$2:$E$112)-SUM(SalesRevenueAuto!$E$2:$E$40))</f>
        <v>15958.596645368552</v>
      </c>
      <c r="CK6">
        <f ca="1">(PriceStimulation!CP5)*(SUM(InventoryPurchasing!$E$2:$E$112)-SUM(SalesRevenueAuto!$E$2:$E$40))</f>
        <v>15469.993407688768</v>
      </c>
      <c r="CL6">
        <f ca="1">(PriceStimulation!CQ5)*(SUM(InventoryPurchasing!$E$2:$E$112)-SUM(SalesRevenueAuto!$E$2:$E$40))</f>
        <v>14600.873095168039</v>
      </c>
      <c r="CM6">
        <f ca="1">(PriceStimulation!CR5)*(SUM(InventoryPurchasing!$E$2:$E$112)-SUM(SalesRevenueAuto!$E$2:$E$40))</f>
        <v>13792.732270374536</v>
      </c>
      <c r="CN6">
        <f ca="1">(PriceStimulation!CS5)*(SUM(InventoryPurchasing!$E$2:$E$112)-SUM(SalesRevenueAuto!$E$2:$E$40))</f>
        <v>13846.810461796995</v>
      </c>
      <c r="CO6">
        <f ca="1">(PriceStimulation!CT5)*(SUM(InventoryPurchasing!$E$2:$E$112)-SUM(SalesRevenueAuto!$E$2:$E$40))</f>
        <v>15210.823305119569</v>
      </c>
      <c r="CP6">
        <f ca="1">(PriceStimulation!CU5)*(SUM(InventoryPurchasing!$E$2:$E$112)-SUM(SalesRevenueAuto!$E$2:$E$40))</f>
        <v>17644.093403185791</v>
      </c>
      <c r="CQ6">
        <f ca="1">(PriceStimulation!CV5)*(SUM(InventoryPurchasing!$E$2:$E$112)-SUM(SalesRevenueAuto!$E$2:$E$40))</f>
        <v>14231.124589214567</v>
      </c>
      <c r="CR6">
        <f ca="1">(PriceStimulation!CW5)*(SUM(InventoryPurchasing!$E$2:$E$112)-SUM(SalesRevenueAuto!$E$2:$E$40))</f>
        <v>14481.808469482252</v>
      </c>
      <c r="CS6">
        <f ca="1">(PriceStimulation!CX5)*(SUM(InventoryPurchasing!$E$2:$E$112)-SUM(SalesRevenueAuto!$E$2:$E$40))</f>
        <v>14793.755293457834</v>
      </c>
      <c r="CT6">
        <f ca="1">(PriceStimulation!CY5)*(SUM(InventoryPurchasing!$E$2:$E$112)-SUM(SalesRevenueAuto!$E$2:$E$40))</f>
        <v>15542.397660375633</v>
      </c>
      <c r="CU6">
        <f ca="1">(PriceStimulation!CZ5)*(SUM(InventoryPurchasing!$E$2:$E$112)-SUM(SalesRevenueAuto!$E$2:$E$40))</f>
        <v>15680.805412416405</v>
      </c>
      <c r="CV6">
        <f ca="1">(PriceStimulation!DA5)*(SUM(InventoryPurchasing!$E$2:$E$112)-SUM(SalesRevenueAuto!$E$2:$E$40))</f>
        <v>16063.01533156422</v>
      </c>
      <c r="CW6">
        <f ca="1">(PriceStimulation!DB5)*(SUM(InventoryPurchasing!$E$2:$E$112)-SUM(SalesRevenueAuto!$E$2:$E$40))</f>
        <v>16752.116310562444</v>
      </c>
      <c r="CX6">
        <f t="shared" ca="1" si="0"/>
        <v>15292.430794888725</v>
      </c>
      <c r="CY6">
        <f t="shared" ca="1" si="1"/>
        <v>14089.478629792289</v>
      </c>
      <c r="CZ6">
        <f t="shared" ca="1" si="2"/>
        <v>16765.247207547589</v>
      </c>
      <c r="DA6">
        <f t="shared" ca="1" si="3"/>
        <v>1202.9521650964361</v>
      </c>
      <c r="DB6" s="3">
        <f t="shared" ca="1" si="4"/>
        <v>7.8663240738581969E-2</v>
      </c>
    </row>
    <row r="7" spans="1:106" x14ac:dyDescent="0.2">
      <c r="A7">
        <v>4</v>
      </c>
      <c r="B7">
        <f ca="1">(PriceStimulation!G6)*(SUM(InventoryPurchasing!$E$2:$E$112)-SUM(SalesRevenueAuto!$E$2:$E$40))</f>
        <v>15416.977422770717</v>
      </c>
      <c r="C7">
        <f ca="1">(PriceStimulation!H6)*(SUM(InventoryPurchasing!$E$2:$E$112)-SUM(SalesRevenueAuto!$E$2:$E$40))</f>
        <v>16849.317266920803</v>
      </c>
      <c r="D7">
        <f ca="1">(PriceStimulation!I6)*(SUM(InventoryPurchasing!$E$2:$E$112)-SUM(SalesRevenueAuto!$E$2:$E$40))</f>
        <v>16263.506295712346</v>
      </c>
      <c r="E7">
        <f ca="1">(PriceStimulation!J6)*(SUM(InventoryPurchasing!$E$2:$E$112)-SUM(SalesRevenueAuto!$E$2:$E$40))</f>
        <v>16146.685605778803</v>
      </c>
      <c r="F7">
        <f ca="1">(PriceStimulation!K6)*(SUM(InventoryPurchasing!$E$2:$E$112)-SUM(SalesRevenueAuto!$E$2:$E$40))</f>
        <v>14581.591962136279</v>
      </c>
      <c r="G7">
        <f ca="1">(PriceStimulation!L6)*(SUM(InventoryPurchasing!$E$2:$E$112)-SUM(SalesRevenueAuto!$E$2:$E$40))</f>
        <v>15931.689571881529</v>
      </c>
      <c r="H7">
        <f ca="1">(PriceStimulation!M6)*(SUM(InventoryPurchasing!$E$2:$E$112)-SUM(SalesRevenueAuto!$E$2:$E$40))</f>
        <v>15332.90223187206</v>
      </c>
      <c r="I7">
        <f ca="1">(PriceStimulation!N6)*(SUM(InventoryPurchasing!$E$2:$E$112)-SUM(SalesRevenueAuto!$E$2:$E$40))</f>
        <v>16691.756028655924</v>
      </c>
      <c r="J7">
        <f ca="1">(PriceStimulation!O6)*(SUM(InventoryPurchasing!$E$2:$E$112)-SUM(SalesRevenueAuto!$E$2:$E$40))</f>
        <v>15189.406199139568</v>
      </c>
      <c r="K7">
        <f ca="1">(PriceStimulation!P6)*(SUM(InventoryPurchasing!$E$2:$E$112)-SUM(SalesRevenueAuto!$E$2:$E$40))</f>
        <v>16350.538302509589</v>
      </c>
      <c r="L7">
        <f ca="1">(PriceStimulation!Q6)*(SUM(InventoryPurchasing!$E$2:$E$112)-SUM(SalesRevenueAuto!$E$2:$E$40))</f>
        <v>14580.645558797007</v>
      </c>
      <c r="M7">
        <f ca="1">(PriceStimulation!R6)*(SUM(InventoryPurchasing!$E$2:$E$112)-SUM(SalesRevenueAuto!$E$2:$E$40))</f>
        <v>15779.267615592986</v>
      </c>
      <c r="N7">
        <f ca="1">(PriceStimulation!S6)*(SUM(InventoryPurchasing!$E$2:$E$112)-SUM(SalesRevenueAuto!$E$2:$E$40))</f>
        <v>14945.120595105578</v>
      </c>
      <c r="O7">
        <f ca="1">(PriceStimulation!T6)*(SUM(InventoryPurchasing!$E$2:$E$112)-SUM(SalesRevenueAuto!$E$2:$E$40))</f>
        <v>16372.330765448096</v>
      </c>
      <c r="P7">
        <f ca="1">(PriceStimulation!U6)*(SUM(InventoryPurchasing!$E$2:$E$112)-SUM(SalesRevenueAuto!$E$2:$E$40))</f>
        <v>14334.31504285876</v>
      </c>
      <c r="Q7">
        <f ca="1">(PriceStimulation!V6)*(SUM(InventoryPurchasing!$E$2:$E$112)-SUM(SalesRevenueAuto!$E$2:$E$40))</f>
        <v>15470.891699742015</v>
      </c>
      <c r="R7">
        <f ca="1">(PriceStimulation!W6)*(SUM(InventoryPurchasing!$E$2:$E$112)-SUM(SalesRevenueAuto!$E$2:$E$40))</f>
        <v>15902.532205686082</v>
      </c>
      <c r="S7">
        <f ca="1">(PriceStimulation!X6)*(SUM(InventoryPurchasing!$E$2:$E$112)-SUM(SalesRevenueAuto!$E$2:$E$40))</f>
        <v>16514.007641477361</v>
      </c>
      <c r="T7">
        <f ca="1">(PriceStimulation!Y6)*(SUM(InventoryPurchasing!$E$2:$E$112)-SUM(SalesRevenueAuto!$E$2:$E$40))</f>
        <v>14924.675033555757</v>
      </c>
      <c r="U7">
        <f ca="1">(PriceStimulation!Z6)*(SUM(InventoryPurchasing!$E$2:$E$112)-SUM(SalesRevenueAuto!$E$2:$E$40))</f>
        <v>15491.146079825658</v>
      </c>
      <c r="V7">
        <f ca="1">(PriceStimulation!AA6)*(SUM(InventoryPurchasing!$E$2:$E$112)-SUM(SalesRevenueAuto!$E$2:$E$40))</f>
        <v>14611.189680015808</v>
      </c>
      <c r="W7">
        <f ca="1">(PriceStimulation!AB6)*(SUM(InventoryPurchasing!$E$2:$E$112)-SUM(SalesRevenueAuto!$E$2:$E$40))</f>
        <v>14938.415320667114</v>
      </c>
      <c r="X7">
        <f ca="1">(PriceStimulation!AC6)*(SUM(InventoryPurchasing!$E$2:$E$112)-SUM(SalesRevenueAuto!$E$2:$E$40))</f>
        <v>14693.511179049017</v>
      </c>
      <c r="Y7">
        <f ca="1">(PriceStimulation!AD6)*(SUM(InventoryPurchasing!$E$2:$E$112)-SUM(SalesRevenueAuto!$E$2:$E$40))</f>
        <v>14785.622915463809</v>
      </c>
      <c r="Z7">
        <f ca="1">(PriceStimulation!AE6)*(SUM(InventoryPurchasing!$E$2:$E$112)-SUM(SalesRevenueAuto!$E$2:$E$40))</f>
        <v>16018.316314914238</v>
      </c>
      <c r="AA7">
        <f ca="1">(PriceStimulation!AF6)*(SUM(InventoryPurchasing!$E$2:$E$112)-SUM(SalesRevenueAuto!$E$2:$E$40))</f>
        <v>15372.500707493204</v>
      </c>
      <c r="AB7">
        <f ca="1">(PriceStimulation!AG6)*(SUM(InventoryPurchasing!$E$2:$E$112)-SUM(SalesRevenueAuto!$E$2:$E$40))</f>
        <v>16700.5891569007</v>
      </c>
      <c r="AC7">
        <f ca="1">(PriceStimulation!AH6)*(SUM(InventoryPurchasing!$E$2:$E$112)-SUM(SalesRevenueAuto!$E$2:$E$40))</f>
        <v>14863.230489052938</v>
      </c>
      <c r="AD7">
        <f ca="1">(PriceStimulation!AI6)*(SUM(InventoryPurchasing!$E$2:$E$112)-SUM(SalesRevenueAuto!$E$2:$E$40))</f>
        <v>16433.849502507859</v>
      </c>
      <c r="AE7">
        <f ca="1">(PriceStimulation!AJ6)*(SUM(InventoryPurchasing!$E$2:$E$112)-SUM(SalesRevenueAuto!$E$2:$E$40))</f>
        <v>15228.696571726732</v>
      </c>
      <c r="AF7">
        <f ca="1">(PriceStimulation!AK6)*(SUM(InventoryPurchasing!$E$2:$E$112)-SUM(SalesRevenueAuto!$E$2:$E$40))</f>
        <v>16152.769582393177</v>
      </c>
      <c r="AG7">
        <f ca="1">(PriceStimulation!AL6)*(SUM(InventoryPurchasing!$E$2:$E$112)-SUM(SalesRevenueAuto!$E$2:$E$40))</f>
        <v>14500.579825742632</v>
      </c>
      <c r="AH7">
        <f ca="1">(PriceStimulation!AM6)*(SUM(InventoryPurchasing!$E$2:$E$112)-SUM(SalesRevenueAuto!$E$2:$E$40))</f>
        <v>16944.325765186812</v>
      </c>
      <c r="AI7">
        <f ca="1">(PriceStimulation!AN6)*(SUM(InventoryPurchasing!$E$2:$E$112)-SUM(SalesRevenueAuto!$E$2:$E$40))</f>
        <v>16863.796948182142</v>
      </c>
      <c r="AJ7">
        <f ca="1">(PriceStimulation!AO6)*(SUM(InventoryPurchasing!$E$2:$E$112)-SUM(SalesRevenueAuto!$E$2:$E$40))</f>
        <v>17146.602024347441</v>
      </c>
      <c r="AK7">
        <f ca="1">(PriceStimulation!AP6)*(SUM(InventoryPurchasing!$E$2:$E$112)-SUM(SalesRevenueAuto!$E$2:$E$40))</f>
        <v>16889.174769927024</v>
      </c>
      <c r="AL7">
        <f ca="1">(PriceStimulation!AQ6)*(SUM(InventoryPurchasing!$E$2:$E$112)-SUM(SalesRevenueAuto!$E$2:$E$40))</f>
        <v>15225.519337656295</v>
      </c>
      <c r="AM7">
        <f ca="1">(PriceStimulation!AR6)*(SUM(InventoryPurchasing!$E$2:$E$112)-SUM(SalesRevenueAuto!$E$2:$E$40))</f>
        <v>15850.120627490624</v>
      </c>
      <c r="AN7">
        <f ca="1">(PriceStimulation!AS6)*(SUM(InventoryPurchasing!$E$2:$E$112)-SUM(SalesRevenueAuto!$E$2:$E$40))</f>
        <v>14978.390020005629</v>
      </c>
      <c r="AO7">
        <f ca="1">(PriceStimulation!AT6)*(SUM(InventoryPurchasing!$E$2:$E$112)-SUM(SalesRevenueAuto!$E$2:$E$40))</f>
        <v>14534.889662769458</v>
      </c>
      <c r="AP7">
        <f ca="1">(PriceStimulation!AU6)*(SUM(InventoryPurchasing!$E$2:$E$112)-SUM(SalesRevenueAuto!$E$2:$E$40))</f>
        <v>15090.246458060765</v>
      </c>
      <c r="AQ7">
        <f ca="1">(PriceStimulation!AV6)*(SUM(InventoryPurchasing!$E$2:$E$112)-SUM(SalesRevenueAuto!$E$2:$E$40))</f>
        <v>16018.115659185429</v>
      </c>
      <c r="AR7">
        <f ca="1">(PriceStimulation!AW6)*(SUM(InventoryPurchasing!$E$2:$E$112)-SUM(SalesRevenueAuto!$E$2:$E$40))</f>
        <v>14766.266909390251</v>
      </c>
      <c r="AS7">
        <f ca="1">(PriceStimulation!AX6)*(SUM(InventoryPurchasing!$E$2:$E$112)-SUM(SalesRevenueAuto!$E$2:$E$40))</f>
        <v>17553.890240175213</v>
      </c>
      <c r="AT7">
        <f ca="1">(PriceStimulation!AY6)*(SUM(InventoryPurchasing!$E$2:$E$112)-SUM(SalesRevenueAuto!$E$2:$E$40))</f>
        <v>15090.019354961682</v>
      </c>
      <c r="AU7">
        <f ca="1">(PriceStimulation!AZ6)*(SUM(InventoryPurchasing!$E$2:$E$112)-SUM(SalesRevenueAuto!$E$2:$E$40))</f>
        <v>15536.861287469435</v>
      </c>
      <c r="AV7">
        <f ca="1">(PriceStimulation!BA6)*(SUM(InventoryPurchasing!$E$2:$E$112)-SUM(SalesRevenueAuto!$E$2:$E$40))</f>
        <v>15789.562665850861</v>
      </c>
      <c r="AW7">
        <f ca="1">(PriceStimulation!BB6)*(SUM(InventoryPurchasing!$E$2:$E$112)-SUM(SalesRevenueAuto!$E$2:$E$40))</f>
        <v>15088.142439491014</v>
      </c>
      <c r="AX7">
        <f ca="1">(PriceStimulation!BC6)*(SUM(InventoryPurchasing!$E$2:$E$112)-SUM(SalesRevenueAuto!$E$2:$E$40))</f>
        <v>15077.797206565323</v>
      </c>
      <c r="AY7">
        <f ca="1">(PriceStimulation!BD6)*(SUM(InventoryPurchasing!$E$2:$E$112)-SUM(SalesRevenueAuto!$E$2:$E$40))</f>
        <v>15731.99478634005</v>
      </c>
      <c r="AZ7">
        <f ca="1">(PriceStimulation!BE6)*(SUM(InventoryPurchasing!$E$2:$E$112)-SUM(SalesRevenueAuto!$E$2:$E$40))</f>
        <v>14324.187428849471</v>
      </c>
      <c r="BA7">
        <f ca="1">(PriceStimulation!BF6)*(SUM(InventoryPurchasing!$E$2:$E$112)-SUM(SalesRevenueAuto!$E$2:$E$40))</f>
        <v>14831.645139752696</v>
      </c>
      <c r="BB7">
        <f ca="1">(PriceStimulation!BG6)*(SUM(InventoryPurchasing!$E$2:$E$112)-SUM(SalesRevenueAuto!$E$2:$E$40))</f>
        <v>16697.041556406009</v>
      </c>
      <c r="BC7">
        <f ca="1">(PriceStimulation!BH6)*(SUM(InventoryPurchasing!$E$2:$E$112)-SUM(SalesRevenueAuto!$E$2:$E$40))</f>
        <v>15817.411994212334</v>
      </c>
      <c r="BD7">
        <f ca="1">(PriceStimulation!BI6)*(SUM(InventoryPurchasing!$E$2:$E$112)-SUM(SalesRevenueAuto!$E$2:$E$40))</f>
        <v>14519.489054489641</v>
      </c>
      <c r="BE7">
        <f ca="1">(PriceStimulation!BJ6)*(SUM(InventoryPurchasing!$E$2:$E$112)-SUM(SalesRevenueAuto!$E$2:$E$40))</f>
        <v>16118.192794029092</v>
      </c>
      <c r="BF7">
        <f ca="1">(PriceStimulation!BK6)*(SUM(InventoryPurchasing!$E$2:$E$112)-SUM(SalesRevenueAuto!$E$2:$E$40))</f>
        <v>15687.217356159263</v>
      </c>
      <c r="BG7">
        <f ca="1">(PriceStimulation!BL6)*(SUM(InventoryPurchasing!$E$2:$E$112)-SUM(SalesRevenueAuto!$E$2:$E$40))</f>
        <v>18004.053429441174</v>
      </c>
      <c r="BH7">
        <f ca="1">(PriceStimulation!BM6)*(SUM(InventoryPurchasing!$E$2:$E$112)-SUM(SalesRevenueAuto!$E$2:$E$40))</f>
        <v>14726.453118117335</v>
      </c>
      <c r="BI7">
        <f ca="1">(PriceStimulation!BN6)*(SUM(InventoryPurchasing!$E$2:$E$112)-SUM(SalesRevenueAuto!$E$2:$E$40))</f>
        <v>15045.024584795028</v>
      </c>
      <c r="BJ7">
        <f ca="1">(PriceStimulation!BO6)*(SUM(InventoryPurchasing!$E$2:$E$112)-SUM(SalesRevenueAuto!$E$2:$E$40))</f>
        <v>14510.060138736029</v>
      </c>
      <c r="BK7">
        <f ca="1">(PriceStimulation!BP6)*(SUM(InventoryPurchasing!$E$2:$E$112)-SUM(SalesRevenueAuto!$E$2:$E$40))</f>
        <v>15031.067948496404</v>
      </c>
      <c r="BL7">
        <f ca="1">(PriceStimulation!BQ6)*(SUM(InventoryPurchasing!$E$2:$E$112)-SUM(SalesRevenueAuto!$E$2:$E$40))</f>
        <v>14239.595249809905</v>
      </c>
      <c r="BM7">
        <f ca="1">(PriceStimulation!BR6)*(SUM(InventoryPurchasing!$E$2:$E$112)-SUM(SalesRevenueAuto!$E$2:$E$40))</f>
        <v>16176.930292317169</v>
      </c>
      <c r="BN7">
        <f ca="1">(PriceStimulation!BS6)*(SUM(InventoryPurchasing!$E$2:$E$112)-SUM(SalesRevenueAuto!$E$2:$E$40))</f>
        <v>15554.667292945785</v>
      </c>
      <c r="BO7">
        <f ca="1">(PriceStimulation!BT6)*(SUM(InventoryPurchasing!$E$2:$E$112)-SUM(SalesRevenueAuto!$E$2:$E$40))</f>
        <v>15503.158755387332</v>
      </c>
      <c r="BP7">
        <f ca="1">(PriceStimulation!BU6)*(SUM(InventoryPurchasing!$E$2:$E$112)-SUM(SalesRevenueAuto!$E$2:$E$40))</f>
        <v>14546.034315144569</v>
      </c>
      <c r="BQ7">
        <f ca="1">(PriceStimulation!BV6)*(SUM(InventoryPurchasing!$E$2:$E$112)-SUM(SalesRevenueAuto!$E$2:$E$40))</f>
        <v>15536.125678136166</v>
      </c>
      <c r="BR7">
        <f ca="1">(PriceStimulation!BW6)*(SUM(InventoryPurchasing!$E$2:$E$112)-SUM(SalesRevenueAuto!$E$2:$E$40))</f>
        <v>15141.519372460258</v>
      </c>
      <c r="BS7">
        <f ca="1">(PriceStimulation!BX6)*(SUM(InventoryPurchasing!$E$2:$E$112)-SUM(SalesRevenueAuto!$E$2:$E$40))</f>
        <v>14654.253806653665</v>
      </c>
      <c r="BT7">
        <f ca="1">(PriceStimulation!BY6)*(SUM(InventoryPurchasing!$E$2:$E$112)-SUM(SalesRevenueAuto!$E$2:$E$40))</f>
        <v>16914.673333350485</v>
      </c>
      <c r="BU7">
        <f ca="1">(PriceStimulation!BZ6)*(SUM(InventoryPurchasing!$E$2:$E$112)-SUM(SalesRevenueAuto!$E$2:$E$40))</f>
        <v>15475.890726780995</v>
      </c>
      <c r="BV7">
        <f ca="1">(PriceStimulation!CA6)*(SUM(InventoryPurchasing!$E$2:$E$112)-SUM(SalesRevenueAuto!$E$2:$E$40))</f>
        <v>17209.84643151964</v>
      </c>
      <c r="BW7">
        <f ca="1">(PriceStimulation!CB6)*(SUM(InventoryPurchasing!$E$2:$E$112)-SUM(SalesRevenueAuto!$E$2:$E$40))</f>
        <v>16895.398473966572</v>
      </c>
      <c r="BX7">
        <f ca="1">(PriceStimulation!CC6)*(SUM(InventoryPurchasing!$E$2:$E$112)-SUM(SalesRevenueAuto!$E$2:$E$40))</f>
        <v>15894.377301254999</v>
      </c>
      <c r="BY7">
        <f ca="1">(PriceStimulation!CD6)*(SUM(InventoryPurchasing!$E$2:$E$112)-SUM(SalesRevenueAuto!$E$2:$E$40))</f>
        <v>14309.043866283097</v>
      </c>
      <c r="BZ7">
        <f ca="1">(PriceStimulation!CE6)*(SUM(InventoryPurchasing!$E$2:$E$112)-SUM(SalesRevenueAuto!$E$2:$E$40))</f>
        <v>14092.585861478183</v>
      </c>
      <c r="CA7">
        <f ca="1">(PriceStimulation!CF6)*(SUM(InventoryPurchasing!$E$2:$E$112)-SUM(SalesRevenueAuto!$E$2:$E$40))</f>
        <v>16448.250238867367</v>
      </c>
      <c r="CB7">
        <f ca="1">(PriceStimulation!CG6)*(SUM(InventoryPurchasing!$E$2:$E$112)-SUM(SalesRevenueAuto!$E$2:$E$40))</f>
        <v>14623.893949417759</v>
      </c>
      <c r="CC7">
        <f ca="1">(PriceStimulation!CH6)*(SUM(InventoryPurchasing!$E$2:$E$112)-SUM(SalesRevenueAuto!$E$2:$E$40))</f>
        <v>15974.980974940725</v>
      </c>
      <c r="CD7">
        <f ca="1">(PriceStimulation!CI6)*(SUM(InventoryPurchasing!$E$2:$E$112)-SUM(SalesRevenueAuto!$E$2:$E$40))</f>
        <v>14022.857341635421</v>
      </c>
      <c r="CE7">
        <f ca="1">(PriceStimulation!CJ6)*(SUM(InventoryPurchasing!$E$2:$E$112)-SUM(SalesRevenueAuto!$E$2:$E$40))</f>
        <v>14969.134347737574</v>
      </c>
      <c r="CF7">
        <f ca="1">(PriceStimulation!CK6)*(SUM(InventoryPurchasing!$E$2:$E$112)-SUM(SalesRevenueAuto!$E$2:$E$40))</f>
        <v>14327.221596507941</v>
      </c>
      <c r="CG7">
        <f ca="1">(PriceStimulation!CL6)*(SUM(InventoryPurchasing!$E$2:$E$112)-SUM(SalesRevenueAuto!$E$2:$E$40))</f>
        <v>15819.445732032955</v>
      </c>
      <c r="CH7">
        <f ca="1">(PriceStimulation!CM6)*(SUM(InventoryPurchasing!$E$2:$E$112)-SUM(SalesRevenueAuto!$E$2:$E$40))</f>
        <v>15516.624950105195</v>
      </c>
      <c r="CI7">
        <f ca="1">(PriceStimulation!CN6)*(SUM(InventoryPurchasing!$E$2:$E$112)-SUM(SalesRevenueAuto!$E$2:$E$40))</f>
        <v>15466.03044916732</v>
      </c>
      <c r="CJ7">
        <f ca="1">(PriceStimulation!CO6)*(SUM(InventoryPurchasing!$E$2:$E$112)-SUM(SalesRevenueAuto!$E$2:$E$40))</f>
        <v>15575.691872425961</v>
      </c>
      <c r="CK7">
        <f ca="1">(PriceStimulation!CP6)*(SUM(InventoryPurchasing!$E$2:$E$112)-SUM(SalesRevenueAuto!$E$2:$E$40))</f>
        <v>15514.539103294966</v>
      </c>
      <c r="CL7">
        <f ca="1">(PriceStimulation!CQ6)*(SUM(InventoryPurchasing!$E$2:$E$112)-SUM(SalesRevenueAuto!$E$2:$E$40))</f>
        <v>15051.600142658313</v>
      </c>
      <c r="CM7">
        <f ca="1">(PriceStimulation!CR6)*(SUM(InventoryPurchasing!$E$2:$E$112)-SUM(SalesRevenueAuto!$E$2:$E$40))</f>
        <v>14165.502613709235</v>
      </c>
      <c r="CN7">
        <f ca="1">(PriceStimulation!CS6)*(SUM(InventoryPurchasing!$E$2:$E$112)-SUM(SalesRevenueAuto!$E$2:$E$40))</f>
        <v>14233.574517097997</v>
      </c>
      <c r="CO7">
        <f ca="1">(PriceStimulation!CT6)*(SUM(InventoryPurchasing!$E$2:$E$112)-SUM(SalesRevenueAuto!$E$2:$E$40))</f>
        <v>15451.194934799849</v>
      </c>
      <c r="CP7">
        <f ca="1">(PriceStimulation!CU6)*(SUM(InventoryPurchasing!$E$2:$E$112)-SUM(SalesRevenueAuto!$E$2:$E$40))</f>
        <v>17521.914169798165</v>
      </c>
      <c r="CQ7">
        <f ca="1">(PriceStimulation!CV6)*(SUM(InventoryPurchasing!$E$2:$E$112)-SUM(SalesRevenueAuto!$E$2:$E$40))</f>
        <v>14560.470452043766</v>
      </c>
      <c r="CR7">
        <f ca="1">(PriceStimulation!CW6)*(SUM(InventoryPurchasing!$E$2:$E$112)-SUM(SalesRevenueAuto!$E$2:$E$40))</f>
        <v>14801.063287131099</v>
      </c>
      <c r="CS7">
        <f ca="1">(PriceStimulation!CX6)*(SUM(InventoryPurchasing!$E$2:$E$112)-SUM(SalesRevenueAuto!$E$2:$E$40))</f>
        <v>15715.103009977085</v>
      </c>
      <c r="CT7">
        <f ca="1">(PriceStimulation!CY6)*(SUM(InventoryPurchasing!$E$2:$E$112)-SUM(SalesRevenueAuto!$E$2:$E$40))</f>
        <v>15092.647452634095</v>
      </c>
      <c r="CU7">
        <f ca="1">(PriceStimulation!CZ6)*(SUM(InventoryPurchasing!$E$2:$E$112)-SUM(SalesRevenueAuto!$E$2:$E$40))</f>
        <v>15984.233182001662</v>
      </c>
      <c r="CV7">
        <f ca="1">(PriceStimulation!DA6)*(SUM(InventoryPurchasing!$E$2:$E$112)-SUM(SalesRevenueAuto!$E$2:$E$40))</f>
        <v>16290.249943027464</v>
      </c>
      <c r="CW7">
        <f ca="1">(PriceStimulation!DB6)*(SUM(InventoryPurchasing!$E$2:$E$112)-SUM(SalesRevenueAuto!$E$2:$E$40))</f>
        <v>16200.115397807835</v>
      </c>
      <c r="CX7">
        <f t="shared" ca="1" si="0"/>
        <v>15523.265754942428</v>
      </c>
      <c r="CY7">
        <f t="shared" ca="1" si="1"/>
        <v>14305.571435459437</v>
      </c>
      <c r="CZ7">
        <f t="shared" ca="1" si="2"/>
        <v>16964.553391102872</v>
      </c>
      <c r="DA7">
        <f t="shared" ca="1" si="3"/>
        <v>1217.694319482991</v>
      </c>
      <c r="DB7" s="3">
        <f t="shared" ca="1" si="4"/>
        <v>7.8443179335204727E-2</v>
      </c>
    </row>
    <row r="8" spans="1:106" x14ac:dyDescent="0.2">
      <c r="A8">
        <v>5</v>
      </c>
      <c r="B8">
        <f ca="1">(PriceStimulation!G7)*(SUM(InventoryPurchasing!$E$2:$E$112)-SUM(SalesRevenueAuto!$E$2:$E$40))</f>
        <v>16125.053147867126</v>
      </c>
      <c r="C8">
        <f ca="1">(PriceStimulation!H7)*(SUM(InventoryPurchasing!$E$2:$E$112)-SUM(SalesRevenueAuto!$E$2:$E$40))</f>
        <v>16947.858547453488</v>
      </c>
      <c r="D8">
        <f ca="1">(PriceStimulation!I7)*(SUM(InventoryPurchasing!$E$2:$E$112)-SUM(SalesRevenueAuto!$E$2:$E$40))</f>
        <v>16115.123258125721</v>
      </c>
      <c r="E8">
        <f ca="1">(PriceStimulation!J7)*(SUM(InventoryPurchasing!$E$2:$E$112)-SUM(SalesRevenueAuto!$E$2:$E$40))</f>
        <v>16773.683757400449</v>
      </c>
      <c r="F8">
        <f ca="1">(PriceStimulation!K7)*(SUM(InventoryPurchasing!$E$2:$E$112)-SUM(SalesRevenueAuto!$E$2:$E$40))</f>
        <v>14935.251844148866</v>
      </c>
      <c r="G8">
        <f ca="1">(PriceStimulation!L7)*(SUM(InventoryPurchasing!$E$2:$E$112)-SUM(SalesRevenueAuto!$E$2:$E$40))</f>
        <v>15882.563483245758</v>
      </c>
      <c r="H8">
        <f ca="1">(PriceStimulation!M7)*(SUM(InventoryPurchasing!$E$2:$E$112)-SUM(SalesRevenueAuto!$E$2:$E$40))</f>
        <v>15499.208846433159</v>
      </c>
      <c r="I8">
        <f ca="1">(PriceStimulation!N7)*(SUM(InventoryPurchasing!$E$2:$E$112)-SUM(SalesRevenueAuto!$E$2:$E$40))</f>
        <v>16279.295961405112</v>
      </c>
      <c r="J8">
        <f ca="1">(PriceStimulation!O7)*(SUM(InventoryPurchasing!$E$2:$E$112)-SUM(SalesRevenueAuto!$E$2:$E$40))</f>
        <v>14960.613414572623</v>
      </c>
      <c r="K8">
        <f ca="1">(PriceStimulation!P7)*(SUM(InventoryPurchasing!$E$2:$E$112)-SUM(SalesRevenueAuto!$E$2:$E$40))</f>
        <v>16475.739622289911</v>
      </c>
      <c r="L8">
        <f ca="1">(PriceStimulation!Q7)*(SUM(InventoryPurchasing!$E$2:$E$112)-SUM(SalesRevenueAuto!$E$2:$E$40))</f>
        <v>14788.155169079659</v>
      </c>
      <c r="M8">
        <f ca="1">(PriceStimulation!R7)*(SUM(InventoryPurchasing!$E$2:$E$112)-SUM(SalesRevenueAuto!$E$2:$E$40))</f>
        <v>16317.111868359032</v>
      </c>
      <c r="N8">
        <f ca="1">(PriceStimulation!S7)*(SUM(InventoryPurchasing!$E$2:$E$112)-SUM(SalesRevenueAuto!$E$2:$E$40))</f>
        <v>15366.610172345056</v>
      </c>
      <c r="O8">
        <f ca="1">(PriceStimulation!T7)*(SUM(InventoryPurchasing!$E$2:$E$112)-SUM(SalesRevenueAuto!$E$2:$E$40))</f>
        <v>16431.984606850408</v>
      </c>
      <c r="P8">
        <f ca="1">(PriceStimulation!U7)*(SUM(InventoryPurchasing!$E$2:$E$112)-SUM(SalesRevenueAuto!$E$2:$E$40))</f>
        <v>14962.095613616078</v>
      </c>
      <c r="Q8">
        <f ca="1">(PriceStimulation!V7)*(SUM(InventoryPurchasing!$E$2:$E$112)-SUM(SalesRevenueAuto!$E$2:$E$40))</f>
        <v>15727.682058863005</v>
      </c>
      <c r="R8">
        <f ca="1">(PriceStimulation!W7)*(SUM(InventoryPurchasing!$E$2:$E$112)-SUM(SalesRevenueAuto!$E$2:$E$40))</f>
        <v>15983.231606652378</v>
      </c>
      <c r="S8">
        <f ca="1">(PriceStimulation!X7)*(SUM(InventoryPurchasing!$E$2:$E$112)-SUM(SalesRevenueAuto!$E$2:$E$40))</f>
        <v>16872.668948708859</v>
      </c>
      <c r="T8">
        <f ca="1">(PriceStimulation!Y7)*(SUM(InventoryPurchasing!$E$2:$E$112)-SUM(SalesRevenueAuto!$E$2:$E$40))</f>
        <v>14951.839441073807</v>
      </c>
      <c r="U8">
        <f ca="1">(PriceStimulation!Z7)*(SUM(InventoryPurchasing!$E$2:$E$112)-SUM(SalesRevenueAuto!$E$2:$E$40))</f>
        <v>15793.053086905529</v>
      </c>
      <c r="V8">
        <f ca="1">(PriceStimulation!AA7)*(SUM(InventoryPurchasing!$E$2:$E$112)-SUM(SalesRevenueAuto!$E$2:$E$40))</f>
        <v>15259.396321601056</v>
      </c>
      <c r="W8">
        <f ca="1">(PriceStimulation!AB7)*(SUM(InventoryPurchasing!$E$2:$E$112)-SUM(SalesRevenueAuto!$E$2:$E$40))</f>
        <v>15029.8625722897</v>
      </c>
      <c r="X8">
        <f ca="1">(PriceStimulation!AC7)*(SUM(InventoryPurchasing!$E$2:$E$112)-SUM(SalesRevenueAuto!$E$2:$E$40))</f>
        <v>15484.490332257228</v>
      </c>
      <c r="Y8">
        <f ca="1">(PriceStimulation!AD7)*(SUM(InventoryPurchasing!$E$2:$E$112)-SUM(SalesRevenueAuto!$E$2:$E$40))</f>
        <v>16173.148997118813</v>
      </c>
      <c r="Z8">
        <f ca="1">(PriceStimulation!AE7)*(SUM(InventoryPurchasing!$E$2:$E$112)-SUM(SalesRevenueAuto!$E$2:$E$40))</f>
        <v>15809.878200208701</v>
      </c>
      <c r="AA8">
        <f ca="1">(PriceStimulation!AF7)*(SUM(InventoryPurchasing!$E$2:$E$112)-SUM(SalesRevenueAuto!$E$2:$E$40))</f>
        <v>15554.966886738433</v>
      </c>
      <c r="AB8">
        <f ca="1">(PriceStimulation!AG7)*(SUM(InventoryPurchasing!$E$2:$E$112)-SUM(SalesRevenueAuto!$E$2:$E$40))</f>
        <v>16179.749457210026</v>
      </c>
      <c r="AC8">
        <f ca="1">(PriceStimulation!AH7)*(SUM(InventoryPurchasing!$E$2:$E$112)-SUM(SalesRevenueAuto!$E$2:$E$40))</f>
        <v>15445.659965739038</v>
      </c>
      <c r="AD8">
        <f ca="1">(PriceStimulation!AI7)*(SUM(InventoryPurchasing!$E$2:$E$112)-SUM(SalesRevenueAuto!$E$2:$E$40))</f>
        <v>16398.641326072313</v>
      </c>
      <c r="AE8">
        <f ca="1">(PriceStimulation!AJ7)*(SUM(InventoryPurchasing!$E$2:$E$112)-SUM(SalesRevenueAuto!$E$2:$E$40))</f>
        <v>15007.517119022685</v>
      </c>
      <c r="AF8">
        <f ca="1">(PriceStimulation!AK7)*(SUM(InventoryPurchasing!$E$2:$E$112)-SUM(SalesRevenueAuto!$E$2:$E$40))</f>
        <v>16209.088473612088</v>
      </c>
      <c r="AG8">
        <f ca="1">(PriceStimulation!AL7)*(SUM(InventoryPurchasing!$E$2:$E$112)-SUM(SalesRevenueAuto!$E$2:$E$40))</f>
        <v>14403.560543621841</v>
      </c>
      <c r="AH8">
        <f ca="1">(PriceStimulation!AM7)*(SUM(InventoryPurchasing!$E$2:$E$112)-SUM(SalesRevenueAuto!$E$2:$E$40))</f>
        <v>17596.120589234484</v>
      </c>
      <c r="AI8">
        <f ca="1">(PriceStimulation!AN7)*(SUM(InventoryPurchasing!$E$2:$E$112)-SUM(SalesRevenueAuto!$E$2:$E$40))</f>
        <v>17671.847488428084</v>
      </c>
      <c r="AJ8">
        <f ca="1">(PriceStimulation!AO7)*(SUM(InventoryPurchasing!$E$2:$E$112)-SUM(SalesRevenueAuto!$E$2:$E$40))</f>
        <v>16856.414001895955</v>
      </c>
      <c r="AK8">
        <f ca="1">(PriceStimulation!AP7)*(SUM(InventoryPurchasing!$E$2:$E$112)-SUM(SalesRevenueAuto!$E$2:$E$40))</f>
        <v>17257.407172653537</v>
      </c>
      <c r="AL8">
        <f ca="1">(PriceStimulation!AQ7)*(SUM(InventoryPurchasing!$E$2:$E$112)-SUM(SalesRevenueAuto!$E$2:$E$40))</f>
        <v>15518.515774965139</v>
      </c>
      <c r="AM8">
        <f ca="1">(PriceStimulation!AR7)*(SUM(InventoryPurchasing!$E$2:$E$112)-SUM(SalesRevenueAuto!$E$2:$E$40))</f>
        <v>15261.521713776572</v>
      </c>
      <c r="AN8">
        <f ca="1">(PriceStimulation!AS7)*(SUM(InventoryPurchasing!$E$2:$E$112)-SUM(SalesRevenueAuto!$E$2:$E$40))</f>
        <v>15594.080310819949</v>
      </c>
      <c r="AO8">
        <f ca="1">(PriceStimulation!AT7)*(SUM(InventoryPurchasing!$E$2:$E$112)-SUM(SalesRevenueAuto!$E$2:$E$40))</f>
        <v>14224.245777054377</v>
      </c>
      <c r="AP8">
        <f ca="1">(PriceStimulation!AU7)*(SUM(InventoryPurchasing!$E$2:$E$112)-SUM(SalesRevenueAuto!$E$2:$E$40))</f>
        <v>15595.388933856977</v>
      </c>
      <c r="AQ8">
        <f ca="1">(PriceStimulation!AV7)*(SUM(InventoryPurchasing!$E$2:$E$112)-SUM(SalesRevenueAuto!$E$2:$E$40))</f>
        <v>15914.161048961567</v>
      </c>
      <c r="AR8">
        <f ca="1">(PriceStimulation!AW7)*(SUM(InventoryPurchasing!$E$2:$E$112)-SUM(SalesRevenueAuto!$E$2:$E$40))</f>
        <v>15617.793393629639</v>
      </c>
      <c r="AS8">
        <f ca="1">(PriceStimulation!AX7)*(SUM(InventoryPurchasing!$E$2:$E$112)-SUM(SalesRevenueAuto!$E$2:$E$40))</f>
        <v>18019.584657692554</v>
      </c>
      <c r="AT8">
        <f ca="1">(PriceStimulation!AY7)*(SUM(InventoryPurchasing!$E$2:$E$112)-SUM(SalesRevenueAuto!$E$2:$E$40))</f>
        <v>15843.957775480774</v>
      </c>
      <c r="AU8">
        <f ca="1">(PriceStimulation!AZ7)*(SUM(InventoryPurchasing!$E$2:$E$112)-SUM(SalesRevenueAuto!$E$2:$E$40))</f>
        <v>15648.988064549725</v>
      </c>
      <c r="AV8">
        <f ca="1">(PriceStimulation!BA7)*(SUM(InventoryPurchasing!$E$2:$E$112)-SUM(SalesRevenueAuto!$E$2:$E$40))</f>
        <v>15336.920686642048</v>
      </c>
      <c r="AW8">
        <f ca="1">(PriceStimulation!BB7)*(SUM(InventoryPurchasing!$E$2:$E$112)-SUM(SalesRevenueAuto!$E$2:$E$40))</f>
        <v>15266.599713804424</v>
      </c>
      <c r="AX8">
        <f ca="1">(PriceStimulation!BC7)*(SUM(InventoryPurchasing!$E$2:$E$112)-SUM(SalesRevenueAuto!$E$2:$E$40))</f>
        <v>15228.531389349511</v>
      </c>
      <c r="AY8">
        <f ca="1">(PriceStimulation!BD7)*(SUM(InventoryPurchasing!$E$2:$E$112)-SUM(SalesRevenueAuto!$E$2:$E$40))</f>
        <v>15427.140114288757</v>
      </c>
      <c r="AZ8">
        <f ca="1">(PriceStimulation!BE7)*(SUM(InventoryPurchasing!$E$2:$E$112)-SUM(SalesRevenueAuto!$E$2:$E$40))</f>
        <v>14913.962518221098</v>
      </c>
      <c r="BA8">
        <f ca="1">(PriceStimulation!BF7)*(SUM(InventoryPurchasing!$E$2:$E$112)-SUM(SalesRevenueAuto!$E$2:$E$40))</f>
        <v>14658.507947438125</v>
      </c>
      <c r="BB8">
        <f ca="1">(PriceStimulation!BG7)*(SUM(InventoryPurchasing!$E$2:$E$112)-SUM(SalesRevenueAuto!$E$2:$E$40))</f>
        <v>17541.230175336474</v>
      </c>
      <c r="BC8">
        <f ca="1">(PriceStimulation!BH7)*(SUM(InventoryPurchasing!$E$2:$E$112)-SUM(SalesRevenueAuto!$E$2:$E$40))</f>
        <v>15891.873001714201</v>
      </c>
      <c r="BD8">
        <f ca="1">(PriceStimulation!BI7)*(SUM(InventoryPurchasing!$E$2:$E$112)-SUM(SalesRevenueAuto!$E$2:$E$40))</f>
        <v>14285.993812223764</v>
      </c>
      <c r="BE8">
        <f ca="1">(PriceStimulation!BJ7)*(SUM(InventoryPurchasing!$E$2:$E$112)-SUM(SalesRevenueAuto!$E$2:$E$40))</f>
        <v>15664.574412610087</v>
      </c>
      <c r="BF8">
        <f ca="1">(PriceStimulation!BK7)*(SUM(InventoryPurchasing!$E$2:$E$112)-SUM(SalesRevenueAuto!$E$2:$E$40))</f>
        <v>15643.906903587718</v>
      </c>
      <c r="BG8">
        <f ca="1">(PriceStimulation!BL7)*(SUM(InventoryPurchasing!$E$2:$E$112)-SUM(SalesRevenueAuto!$E$2:$E$40))</f>
        <v>18328.694789030364</v>
      </c>
      <c r="BH8">
        <f ca="1">(PriceStimulation!BM7)*(SUM(InventoryPurchasing!$E$2:$E$112)-SUM(SalesRevenueAuto!$E$2:$E$40))</f>
        <v>15506.250574901755</v>
      </c>
      <c r="BI8">
        <f ca="1">(PriceStimulation!BN7)*(SUM(InventoryPurchasing!$E$2:$E$112)-SUM(SalesRevenueAuto!$E$2:$E$40))</f>
        <v>15527.814680408606</v>
      </c>
      <c r="BJ8">
        <f ca="1">(PriceStimulation!BO7)*(SUM(InventoryPurchasing!$E$2:$E$112)-SUM(SalesRevenueAuto!$E$2:$E$40))</f>
        <v>14798.501403317858</v>
      </c>
      <c r="BK8">
        <f ca="1">(PriceStimulation!BP7)*(SUM(InventoryPurchasing!$E$2:$E$112)-SUM(SalesRevenueAuto!$E$2:$E$40))</f>
        <v>15074.027548383465</v>
      </c>
      <c r="BL8">
        <f ca="1">(PriceStimulation!BQ7)*(SUM(InventoryPurchasing!$E$2:$E$112)-SUM(SalesRevenueAuto!$E$2:$E$40))</f>
        <v>14383.604483227091</v>
      </c>
      <c r="BM8">
        <f ca="1">(PriceStimulation!BR7)*(SUM(InventoryPurchasing!$E$2:$E$112)-SUM(SalesRevenueAuto!$E$2:$E$40))</f>
        <v>16946.488929869432</v>
      </c>
      <c r="BN8">
        <f ca="1">(PriceStimulation!BS7)*(SUM(InventoryPurchasing!$E$2:$E$112)-SUM(SalesRevenueAuto!$E$2:$E$40))</f>
        <v>15883.909672246136</v>
      </c>
      <c r="BO8">
        <f ca="1">(PriceStimulation!BT7)*(SUM(InventoryPurchasing!$E$2:$E$112)-SUM(SalesRevenueAuto!$E$2:$E$40))</f>
        <v>15990.382128758492</v>
      </c>
      <c r="BP8">
        <f ca="1">(PriceStimulation!BU7)*(SUM(InventoryPurchasing!$E$2:$E$112)-SUM(SalesRevenueAuto!$E$2:$E$40))</f>
        <v>14976.133415911963</v>
      </c>
      <c r="BQ8">
        <f ca="1">(PriceStimulation!BV7)*(SUM(InventoryPurchasing!$E$2:$E$112)-SUM(SalesRevenueAuto!$E$2:$E$40))</f>
        <v>15540.868428293526</v>
      </c>
      <c r="BR8">
        <f ca="1">(PriceStimulation!BW7)*(SUM(InventoryPurchasing!$E$2:$E$112)-SUM(SalesRevenueAuto!$E$2:$E$40))</f>
        <v>15597.361307013643</v>
      </c>
      <c r="BS8">
        <f ca="1">(PriceStimulation!BX7)*(SUM(InventoryPurchasing!$E$2:$E$112)-SUM(SalesRevenueAuto!$E$2:$E$40))</f>
        <v>14503.883069023537</v>
      </c>
      <c r="BT8">
        <f ca="1">(PriceStimulation!BY7)*(SUM(InventoryPurchasing!$E$2:$E$112)-SUM(SalesRevenueAuto!$E$2:$E$40))</f>
        <v>17205.760265056866</v>
      </c>
      <c r="BU8">
        <f ca="1">(PriceStimulation!BZ7)*(SUM(InventoryPurchasing!$E$2:$E$112)-SUM(SalesRevenueAuto!$E$2:$E$40))</f>
        <v>15302.472780283657</v>
      </c>
      <c r="BV8">
        <f ca="1">(PriceStimulation!CA7)*(SUM(InventoryPurchasing!$E$2:$E$112)-SUM(SalesRevenueAuto!$E$2:$E$40))</f>
        <v>17789.510219933443</v>
      </c>
      <c r="BW8">
        <f ca="1">(PriceStimulation!CB7)*(SUM(InventoryPurchasing!$E$2:$E$112)-SUM(SalesRevenueAuto!$E$2:$E$40))</f>
        <v>17762.494149086164</v>
      </c>
      <c r="BX8">
        <f ca="1">(PriceStimulation!CC7)*(SUM(InventoryPurchasing!$E$2:$E$112)-SUM(SalesRevenueAuto!$E$2:$E$40))</f>
        <v>16085.583737699617</v>
      </c>
      <c r="BY8">
        <f ca="1">(PriceStimulation!CD7)*(SUM(InventoryPurchasing!$E$2:$E$112)-SUM(SalesRevenueAuto!$E$2:$E$40))</f>
        <v>14636.927348968085</v>
      </c>
      <c r="BZ8">
        <f ca="1">(PriceStimulation!CE7)*(SUM(InventoryPurchasing!$E$2:$E$112)-SUM(SalesRevenueAuto!$E$2:$E$40))</f>
        <v>14353.365827567684</v>
      </c>
      <c r="CA8">
        <f ca="1">(PriceStimulation!CF7)*(SUM(InventoryPurchasing!$E$2:$E$112)-SUM(SalesRevenueAuto!$E$2:$E$40))</f>
        <v>16344.751708183005</v>
      </c>
      <c r="CB8">
        <f ca="1">(PriceStimulation!CG7)*(SUM(InventoryPurchasing!$E$2:$E$112)-SUM(SalesRevenueAuto!$E$2:$E$40))</f>
        <v>15809.516091208045</v>
      </c>
      <c r="CC8">
        <f ca="1">(PriceStimulation!CH7)*(SUM(InventoryPurchasing!$E$2:$E$112)-SUM(SalesRevenueAuto!$E$2:$E$40))</f>
        <v>16086.521688042154</v>
      </c>
      <c r="CD8">
        <f ca="1">(PriceStimulation!CI7)*(SUM(InventoryPurchasing!$E$2:$E$112)-SUM(SalesRevenueAuto!$E$2:$E$40))</f>
        <v>14267.794940914062</v>
      </c>
      <c r="CE8">
        <f ca="1">(PriceStimulation!CJ7)*(SUM(InventoryPurchasing!$E$2:$E$112)-SUM(SalesRevenueAuto!$E$2:$E$40))</f>
        <v>15073.526747017555</v>
      </c>
      <c r="CF8">
        <f ca="1">(PriceStimulation!CK7)*(SUM(InventoryPurchasing!$E$2:$E$112)-SUM(SalesRevenueAuto!$E$2:$E$40))</f>
        <v>14373.711003969882</v>
      </c>
      <c r="CG8">
        <f ca="1">(PriceStimulation!CL7)*(SUM(InventoryPurchasing!$E$2:$E$112)-SUM(SalesRevenueAuto!$E$2:$E$40))</f>
        <v>16297.220538293112</v>
      </c>
      <c r="CH8">
        <f ca="1">(PriceStimulation!CM7)*(SUM(InventoryPurchasing!$E$2:$E$112)-SUM(SalesRevenueAuto!$E$2:$E$40))</f>
        <v>15470.428943836558</v>
      </c>
      <c r="CI8">
        <f ca="1">(PriceStimulation!CN7)*(SUM(InventoryPurchasing!$E$2:$E$112)-SUM(SalesRevenueAuto!$E$2:$E$40))</f>
        <v>16218.408538319056</v>
      </c>
      <c r="CJ8">
        <f ca="1">(PriceStimulation!CO7)*(SUM(InventoryPurchasing!$E$2:$E$112)-SUM(SalesRevenueAuto!$E$2:$E$40))</f>
        <v>15965.708223452735</v>
      </c>
      <c r="CK8">
        <f ca="1">(PriceStimulation!CP7)*(SUM(InventoryPurchasing!$E$2:$E$112)-SUM(SalesRevenueAuto!$E$2:$E$40))</f>
        <v>15481.482345644134</v>
      </c>
      <c r="CL8">
        <f ca="1">(PriceStimulation!CQ7)*(SUM(InventoryPurchasing!$E$2:$E$112)-SUM(SalesRevenueAuto!$E$2:$E$40))</f>
        <v>15680.510954043015</v>
      </c>
      <c r="CM8">
        <f ca="1">(PriceStimulation!CR7)*(SUM(InventoryPurchasing!$E$2:$E$112)-SUM(SalesRevenueAuto!$E$2:$E$40))</f>
        <v>14237.31883077623</v>
      </c>
      <c r="CN8">
        <f ca="1">(PriceStimulation!CS7)*(SUM(InventoryPurchasing!$E$2:$E$112)-SUM(SalesRevenueAuto!$E$2:$E$40))</f>
        <v>14602.567403416488</v>
      </c>
      <c r="CO8">
        <f ca="1">(PriceStimulation!CT7)*(SUM(InventoryPurchasing!$E$2:$E$112)-SUM(SalesRevenueAuto!$E$2:$E$40))</f>
        <v>15604.951166137604</v>
      </c>
      <c r="CP8">
        <f ca="1">(PriceStimulation!CU7)*(SUM(InventoryPurchasing!$E$2:$E$112)-SUM(SalesRevenueAuto!$E$2:$E$40))</f>
        <v>17095.449890547534</v>
      </c>
      <c r="CQ8">
        <f ca="1">(PriceStimulation!CV7)*(SUM(InventoryPurchasing!$E$2:$E$112)-SUM(SalesRevenueAuto!$E$2:$E$40))</f>
        <v>15067.295841384273</v>
      </c>
      <c r="CR8">
        <f ca="1">(PriceStimulation!CW7)*(SUM(InventoryPurchasing!$E$2:$E$112)-SUM(SalesRevenueAuto!$E$2:$E$40))</f>
        <v>15591.368483959754</v>
      </c>
      <c r="CS8">
        <f ca="1">(PriceStimulation!CX7)*(SUM(InventoryPurchasing!$E$2:$E$112)-SUM(SalesRevenueAuto!$E$2:$E$40))</f>
        <v>16229.121011235558</v>
      </c>
      <c r="CT8">
        <f ca="1">(PriceStimulation!CY7)*(SUM(InventoryPurchasing!$E$2:$E$112)-SUM(SalesRevenueAuto!$E$2:$E$40))</f>
        <v>14680.936067381026</v>
      </c>
      <c r="CU8">
        <f ca="1">(PriceStimulation!CZ7)*(SUM(InventoryPurchasing!$E$2:$E$112)-SUM(SalesRevenueAuto!$E$2:$E$40))</f>
        <v>15925.926561782051</v>
      </c>
      <c r="CV8">
        <f ca="1">(PriceStimulation!DA7)*(SUM(InventoryPurchasing!$E$2:$E$112)-SUM(SalesRevenueAuto!$E$2:$E$40))</f>
        <v>16481.163331568987</v>
      </c>
      <c r="CW8">
        <f ca="1">(PriceStimulation!DB7)*(SUM(InventoryPurchasing!$E$2:$E$112)-SUM(SalesRevenueAuto!$E$2:$E$40))</f>
        <v>16951.322853599879</v>
      </c>
      <c r="CX8">
        <f t="shared" ca="1" si="0"/>
        <v>15763.550899527974</v>
      </c>
      <c r="CY8">
        <f t="shared" ca="1" si="1"/>
        <v>14372.693745149772</v>
      </c>
      <c r="CZ8">
        <f t="shared" ca="1" si="2"/>
        <v>17603.693279153842</v>
      </c>
      <c r="DA8">
        <f t="shared" ca="1" si="3"/>
        <v>1390.8571543782018</v>
      </c>
      <c r="DB8" s="3">
        <f t="shared" ca="1" si="4"/>
        <v>8.8232477773764154E-2</v>
      </c>
    </row>
    <row r="9" spans="1:106" x14ac:dyDescent="0.2">
      <c r="A9">
        <v>6</v>
      </c>
      <c r="B9">
        <f ca="1">(PriceStimulation!G8)*(SUM(InventoryPurchasing!$E$2:$E$112)-SUM(SalesRevenueAuto!$E$2:$E$40))</f>
        <v>16595.651375936668</v>
      </c>
      <c r="C9">
        <f ca="1">(PriceStimulation!H8)*(SUM(InventoryPurchasing!$E$2:$E$112)-SUM(SalesRevenueAuto!$E$2:$E$40))</f>
        <v>17250.198845989689</v>
      </c>
      <c r="D9">
        <f ca="1">(PriceStimulation!I8)*(SUM(InventoryPurchasing!$E$2:$E$112)-SUM(SalesRevenueAuto!$E$2:$E$40))</f>
        <v>16304.839030724406</v>
      </c>
      <c r="E9">
        <f ca="1">(PriceStimulation!J8)*(SUM(InventoryPurchasing!$E$2:$E$112)-SUM(SalesRevenueAuto!$E$2:$E$40))</f>
        <v>17337.569803811501</v>
      </c>
      <c r="F9">
        <f ca="1">(PriceStimulation!K8)*(SUM(InventoryPurchasing!$E$2:$E$112)-SUM(SalesRevenueAuto!$E$2:$E$40))</f>
        <v>14524.218002650143</v>
      </c>
      <c r="G9">
        <f ca="1">(PriceStimulation!L8)*(SUM(InventoryPurchasing!$E$2:$E$112)-SUM(SalesRevenueAuto!$E$2:$E$40))</f>
        <v>16177.884484768656</v>
      </c>
      <c r="H9">
        <f ca="1">(PriceStimulation!M8)*(SUM(InventoryPurchasing!$E$2:$E$112)-SUM(SalesRevenueAuto!$E$2:$E$40))</f>
        <v>15758.827165734196</v>
      </c>
      <c r="I9">
        <f ca="1">(PriceStimulation!N8)*(SUM(InventoryPurchasing!$E$2:$E$112)-SUM(SalesRevenueAuto!$E$2:$E$40))</f>
        <v>16324.43705350609</v>
      </c>
      <c r="J9">
        <f ca="1">(PriceStimulation!O8)*(SUM(InventoryPurchasing!$E$2:$E$112)-SUM(SalesRevenueAuto!$E$2:$E$40))</f>
        <v>15043.980479278729</v>
      </c>
      <c r="K9">
        <f ca="1">(PriceStimulation!P8)*(SUM(InventoryPurchasing!$E$2:$E$112)-SUM(SalesRevenueAuto!$E$2:$E$40))</f>
        <v>16708.307703218747</v>
      </c>
      <c r="L9">
        <f ca="1">(PriceStimulation!Q8)*(SUM(InventoryPurchasing!$E$2:$E$112)-SUM(SalesRevenueAuto!$E$2:$E$40))</f>
        <v>15659.83224783205</v>
      </c>
      <c r="M9">
        <f ca="1">(PriceStimulation!R8)*(SUM(InventoryPurchasing!$E$2:$E$112)-SUM(SalesRevenueAuto!$E$2:$E$40))</f>
        <v>16286.116308360519</v>
      </c>
      <c r="N9">
        <f ca="1">(PriceStimulation!S8)*(SUM(InventoryPurchasing!$E$2:$E$112)-SUM(SalesRevenueAuto!$E$2:$E$40))</f>
        <v>15334.824845671321</v>
      </c>
      <c r="O9">
        <f ca="1">(PriceStimulation!T8)*(SUM(InventoryPurchasing!$E$2:$E$112)-SUM(SalesRevenueAuto!$E$2:$E$40))</f>
        <v>16417.371338270063</v>
      </c>
      <c r="P9">
        <f ca="1">(PriceStimulation!U8)*(SUM(InventoryPurchasing!$E$2:$E$112)-SUM(SalesRevenueAuto!$E$2:$E$40))</f>
        <v>15670.604733052143</v>
      </c>
      <c r="Q9">
        <f ca="1">(PriceStimulation!V8)*(SUM(InventoryPurchasing!$E$2:$E$112)-SUM(SalesRevenueAuto!$E$2:$E$40))</f>
        <v>15989.015051691869</v>
      </c>
      <c r="R9">
        <f ca="1">(PriceStimulation!W8)*(SUM(InventoryPurchasing!$E$2:$E$112)-SUM(SalesRevenueAuto!$E$2:$E$40))</f>
        <v>16741.085184016152</v>
      </c>
      <c r="S9">
        <f ca="1">(PriceStimulation!X8)*(SUM(InventoryPurchasing!$E$2:$E$112)-SUM(SalesRevenueAuto!$E$2:$E$40))</f>
        <v>16835.707326477146</v>
      </c>
      <c r="T9">
        <f ca="1">(PriceStimulation!Y8)*(SUM(InventoryPurchasing!$E$2:$E$112)-SUM(SalesRevenueAuto!$E$2:$E$40))</f>
        <v>14624.449815573758</v>
      </c>
      <c r="U9">
        <f ca="1">(PriceStimulation!Z8)*(SUM(InventoryPurchasing!$E$2:$E$112)-SUM(SalesRevenueAuto!$E$2:$E$40))</f>
        <v>15925.021091012761</v>
      </c>
      <c r="V9">
        <f ca="1">(PriceStimulation!AA8)*(SUM(InventoryPurchasing!$E$2:$E$112)-SUM(SalesRevenueAuto!$E$2:$E$40))</f>
        <v>15082.472885059809</v>
      </c>
      <c r="W9">
        <f ca="1">(PriceStimulation!AB8)*(SUM(InventoryPurchasing!$E$2:$E$112)-SUM(SalesRevenueAuto!$E$2:$E$40))</f>
        <v>16531.146529121404</v>
      </c>
      <c r="X9">
        <f ca="1">(PriceStimulation!AC8)*(SUM(InventoryPurchasing!$E$2:$E$112)-SUM(SalesRevenueAuto!$E$2:$E$40))</f>
        <v>15159.637235856275</v>
      </c>
      <c r="Y9">
        <f ca="1">(PriceStimulation!AD8)*(SUM(InventoryPurchasing!$E$2:$E$112)-SUM(SalesRevenueAuto!$E$2:$E$40))</f>
        <v>16313.112480398673</v>
      </c>
      <c r="Z9">
        <f ca="1">(PriceStimulation!AE8)*(SUM(InventoryPurchasing!$E$2:$E$112)-SUM(SalesRevenueAuto!$E$2:$E$40))</f>
        <v>16203.871102978304</v>
      </c>
      <c r="AA9">
        <f ca="1">(PriceStimulation!AF8)*(SUM(InventoryPurchasing!$E$2:$E$112)-SUM(SalesRevenueAuto!$E$2:$E$40))</f>
        <v>16253.855742735646</v>
      </c>
      <c r="AB9">
        <f ca="1">(PriceStimulation!AG8)*(SUM(InventoryPurchasing!$E$2:$E$112)-SUM(SalesRevenueAuto!$E$2:$E$40))</f>
        <v>15725.129415783815</v>
      </c>
      <c r="AC9">
        <f ca="1">(PriceStimulation!AH8)*(SUM(InventoryPurchasing!$E$2:$E$112)-SUM(SalesRevenueAuto!$E$2:$E$40))</f>
        <v>15841.516653258666</v>
      </c>
      <c r="AD9">
        <f ca="1">(PriceStimulation!AI8)*(SUM(InventoryPurchasing!$E$2:$E$112)-SUM(SalesRevenueAuto!$E$2:$E$40))</f>
        <v>16993.727306546571</v>
      </c>
      <c r="AE9">
        <f ca="1">(PriceStimulation!AJ8)*(SUM(InventoryPurchasing!$E$2:$E$112)-SUM(SalesRevenueAuto!$E$2:$E$40))</f>
        <v>14364.657815744979</v>
      </c>
      <c r="AF9">
        <f ca="1">(PriceStimulation!AK8)*(SUM(InventoryPurchasing!$E$2:$E$112)-SUM(SalesRevenueAuto!$E$2:$E$40))</f>
        <v>17254.013574518041</v>
      </c>
      <c r="AG9">
        <f ca="1">(PriceStimulation!AL8)*(SUM(InventoryPurchasing!$E$2:$E$112)-SUM(SalesRevenueAuto!$E$2:$E$40))</f>
        <v>15014.137834202427</v>
      </c>
      <c r="AH9">
        <f ca="1">(PriceStimulation!AM8)*(SUM(InventoryPurchasing!$E$2:$E$112)-SUM(SalesRevenueAuto!$E$2:$E$40))</f>
        <v>18323.580445898773</v>
      </c>
      <c r="AI9">
        <f ca="1">(PriceStimulation!AN8)*(SUM(InventoryPurchasing!$E$2:$E$112)-SUM(SalesRevenueAuto!$E$2:$E$40))</f>
        <v>18078.437680496165</v>
      </c>
      <c r="AJ9">
        <f ca="1">(PriceStimulation!AO8)*(SUM(InventoryPurchasing!$E$2:$E$112)-SUM(SalesRevenueAuto!$E$2:$E$40))</f>
        <v>17618.158501975311</v>
      </c>
      <c r="AK9">
        <f ca="1">(PriceStimulation!AP8)*(SUM(InventoryPurchasing!$E$2:$E$112)-SUM(SalesRevenueAuto!$E$2:$E$40))</f>
        <v>18449.549809545642</v>
      </c>
      <c r="AL9">
        <f ca="1">(PriceStimulation!AQ8)*(SUM(InventoryPurchasing!$E$2:$E$112)-SUM(SalesRevenueAuto!$E$2:$E$40))</f>
        <v>16013.195699097005</v>
      </c>
      <c r="AM9">
        <f ca="1">(PriceStimulation!AR8)*(SUM(InventoryPurchasing!$E$2:$E$112)-SUM(SalesRevenueAuto!$E$2:$E$40))</f>
        <v>15516.816009937647</v>
      </c>
      <c r="AN9">
        <f ca="1">(PriceStimulation!AS8)*(SUM(InventoryPurchasing!$E$2:$E$112)-SUM(SalesRevenueAuto!$E$2:$E$40))</f>
        <v>15040.741269839835</v>
      </c>
      <c r="AO9">
        <f ca="1">(PriceStimulation!AT8)*(SUM(InventoryPurchasing!$E$2:$E$112)-SUM(SalesRevenueAuto!$E$2:$E$40))</f>
        <v>14358.119434145123</v>
      </c>
      <c r="AP9">
        <f ca="1">(PriceStimulation!AU8)*(SUM(InventoryPurchasing!$E$2:$E$112)-SUM(SalesRevenueAuto!$E$2:$E$40))</f>
        <v>15201.44249277989</v>
      </c>
      <c r="AQ9">
        <f ca="1">(PriceStimulation!AV8)*(SUM(InventoryPurchasing!$E$2:$E$112)-SUM(SalesRevenueAuto!$E$2:$E$40))</f>
        <v>15261.179924638569</v>
      </c>
      <c r="AR9">
        <f ca="1">(PriceStimulation!AW8)*(SUM(InventoryPurchasing!$E$2:$E$112)-SUM(SalesRevenueAuto!$E$2:$E$40))</f>
        <v>16326.92545625632</v>
      </c>
      <c r="AS9">
        <f ca="1">(PriceStimulation!AX8)*(SUM(InventoryPurchasing!$E$2:$E$112)-SUM(SalesRevenueAuto!$E$2:$E$40))</f>
        <v>17170.772699821431</v>
      </c>
      <c r="AT9">
        <f ca="1">(PriceStimulation!AY8)*(SUM(InventoryPurchasing!$E$2:$E$112)-SUM(SalesRevenueAuto!$E$2:$E$40))</f>
        <v>16199.769775792827</v>
      </c>
      <c r="AU9">
        <f ca="1">(PriceStimulation!AZ8)*(SUM(InventoryPurchasing!$E$2:$E$112)-SUM(SalesRevenueAuto!$E$2:$E$40))</f>
        <v>16121.452746027167</v>
      </c>
      <c r="AV9">
        <f ca="1">(PriceStimulation!BA8)*(SUM(InventoryPurchasing!$E$2:$E$112)-SUM(SalesRevenueAuto!$E$2:$E$40))</f>
        <v>14887.226660996028</v>
      </c>
      <c r="AW9">
        <f ca="1">(PriceStimulation!BB8)*(SUM(InventoryPurchasing!$E$2:$E$112)-SUM(SalesRevenueAuto!$E$2:$E$40))</f>
        <v>15241.985101939032</v>
      </c>
      <c r="AX9">
        <f ca="1">(PriceStimulation!BC8)*(SUM(InventoryPurchasing!$E$2:$E$112)-SUM(SalesRevenueAuto!$E$2:$E$40))</f>
        <v>15661.873002628898</v>
      </c>
      <c r="AY9">
        <f ca="1">(PriceStimulation!BD8)*(SUM(InventoryPurchasing!$E$2:$E$112)-SUM(SalesRevenueAuto!$E$2:$E$40))</f>
        <v>15846.886379064656</v>
      </c>
      <c r="AZ9">
        <f ca="1">(PriceStimulation!BE8)*(SUM(InventoryPurchasing!$E$2:$E$112)-SUM(SalesRevenueAuto!$E$2:$E$40))</f>
        <v>16154.037318934914</v>
      </c>
      <c r="BA9">
        <f ca="1">(PriceStimulation!BF8)*(SUM(InventoryPurchasing!$E$2:$E$112)-SUM(SalesRevenueAuto!$E$2:$E$40))</f>
        <v>14650.985954901264</v>
      </c>
      <c r="BB9">
        <f ca="1">(PriceStimulation!BG8)*(SUM(InventoryPurchasing!$E$2:$E$112)-SUM(SalesRevenueAuto!$E$2:$E$40))</f>
        <v>17241.694920475602</v>
      </c>
      <c r="BC9">
        <f ca="1">(PriceStimulation!BH8)*(SUM(InventoryPurchasing!$E$2:$E$112)-SUM(SalesRevenueAuto!$E$2:$E$40))</f>
        <v>16133.878238164818</v>
      </c>
      <c r="BD9">
        <f ca="1">(PriceStimulation!BI8)*(SUM(InventoryPurchasing!$E$2:$E$112)-SUM(SalesRevenueAuto!$E$2:$E$40))</f>
        <v>14598.520761697759</v>
      </c>
      <c r="BE9">
        <f ca="1">(PriceStimulation!BJ8)*(SUM(InventoryPurchasing!$E$2:$E$112)-SUM(SalesRevenueAuto!$E$2:$E$40))</f>
        <v>16332.377997721191</v>
      </c>
      <c r="BF9">
        <f ca="1">(PriceStimulation!BK8)*(SUM(InventoryPurchasing!$E$2:$E$112)-SUM(SalesRevenueAuto!$E$2:$E$40))</f>
        <v>16918.660323139797</v>
      </c>
      <c r="BG9">
        <f ca="1">(PriceStimulation!BL8)*(SUM(InventoryPurchasing!$E$2:$E$112)-SUM(SalesRevenueAuto!$E$2:$E$40))</f>
        <v>18800.908322665888</v>
      </c>
      <c r="BH9">
        <f ca="1">(PriceStimulation!BM8)*(SUM(InventoryPurchasing!$E$2:$E$112)-SUM(SalesRevenueAuto!$E$2:$E$40))</f>
        <v>16316.301232085958</v>
      </c>
      <c r="BI9">
        <f ca="1">(PriceStimulation!BN8)*(SUM(InventoryPurchasing!$E$2:$E$112)-SUM(SalesRevenueAuto!$E$2:$E$40))</f>
        <v>15883.835618047409</v>
      </c>
      <c r="BJ9">
        <f ca="1">(PriceStimulation!BO8)*(SUM(InventoryPurchasing!$E$2:$E$112)-SUM(SalesRevenueAuto!$E$2:$E$40))</f>
        <v>15197.761710770836</v>
      </c>
      <c r="BK9">
        <f ca="1">(PriceStimulation!BP8)*(SUM(InventoryPurchasing!$E$2:$E$112)-SUM(SalesRevenueAuto!$E$2:$E$40))</f>
        <v>15515.974426544615</v>
      </c>
      <c r="BL9">
        <f ca="1">(PriceStimulation!BQ8)*(SUM(InventoryPurchasing!$E$2:$E$112)-SUM(SalesRevenueAuto!$E$2:$E$40))</f>
        <v>14656.999003151459</v>
      </c>
      <c r="BM9">
        <f ca="1">(PriceStimulation!BR8)*(SUM(InventoryPurchasing!$E$2:$E$112)-SUM(SalesRevenueAuto!$E$2:$E$40))</f>
        <v>16912.004972016814</v>
      </c>
      <c r="BN9">
        <f ca="1">(PriceStimulation!BS8)*(SUM(InventoryPurchasing!$E$2:$E$112)-SUM(SalesRevenueAuto!$E$2:$E$40))</f>
        <v>16746.261133153013</v>
      </c>
      <c r="BO9">
        <f ca="1">(PriceStimulation!BT8)*(SUM(InventoryPurchasing!$E$2:$E$112)-SUM(SalesRevenueAuto!$E$2:$E$40))</f>
        <v>15314.359954492715</v>
      </c>
      <c r="BP9">
        <f ca="1">(PriceStimulation!BU8)*(SUM(InventoryPurchasing!$E$2:$E$112)-SUM(SalesRevenueAuto!$E$2:$E$40))</f>
        <v>15317.424882619049</v>
      </c>
      <c r="BQ9">
        <f ca="1">(PriceStimulation!BV8)*(SUM(InventoryPurchasing!$E$2:$E$112)-SUM(SalesRevenueAuto!$E$2:$E$40))</f>
        <v>15779.04613169094</v>
      </c>
      <c r="BR9">
        <f ca="1">(PriceStimulation!BW8)*(SUM(InventoryPurchasing!$E$2:$E$112)-SUM(SalesRevenueAuto!$E$2:$E$40))</f>
        <v>15689.664303090389</v>
      </c>
      <c r="BS9">
        <f ca="1">(PriceStimulation!BX8)*(SUM(InventoryPurchasing!$E$2:$E$112)-SUM(SalesRevenueAuto!$E$2:$E$40))</f>
        <v>14299.509694957629</v>
      </c>
      <c r="BT9">
        <f ca="1">(PriceStimulation!BY8)*(SUM(InventoryPurchasing!$E$2:$E$112)-SUM(SalesRevenueAuto!$E$2:$E$40))</f>
        <v>17819.374059443988</v>
      </c>
      <c r="BU9">
        <f ca="1">(PriceStimulation!BZ8)*(SUM(InventoryPurchasing!$E$2:$E$112)-SUM(SalesRevenueAuto!$E$2:$E$40))</f>
        <v>15182.242658366134</v>
      </c>
      <c r="BV9">
        <f ca="1">(PriceStimulation!CA8)*(SUM(InventoryPurchasing!$E$2:$E$112)-SUM(SalesRevenueAuto!$E$2:$E$40))</f>
        <v>17799.771854601146</v>
      </c>
      <c r="BW9">
        <f ca="1">(PriceStimulation!CB8)*(SUM(InventoryPurchasing!$E$2:$E$112)-SUM(SalesRevenueAuto!$E$2:$E$40))</f>
        <v>18402.820026633432</v>
      </c>
      <c r="BX9">
        <f ca="1">(PriceStimulation!CC8)*(SUM(InventoryPurchasing!$E$2:$E$112)-SUM(SalesRevenueAuto!$E$2:$E$40))</f>
        <v>16215.663379359341</v>
      </c>
      <c r="BY9">
        <f ca="1">(PriceStimulation!CD8)*(SUM(InventoryPurchasing!$E$2:$E$112)-SUM(SalesRevenueAuto!$E$2:$E$40))</f>
        <v>15111.944190637369</v>
      </c>
      <c r="BZ9">
        <f ca="1">(PriceStimulation!CE8)*(SUM(InventoryPurchasing!$E$2:$E$112)-SUM(SalesRevenueAuto!$E$2:$E$40))</f>
        <v>14725.847888625181</v>
      </c>
      <c r="CA9">
        <f ca="1">(PriceStimulation!CF8)*(SUM(InventoryPurchasing!$E$2:$E$112)-SUM(SalesRevenueAuto!$E$2:$E$40))</f>
        <v>16160.01341828391</v>
      </c>
      <c r="CB9">
        <f ca="1">(PriceStimulation!CG8)*(SUM(InventoryPurchasing!$E$2:$E$112)-SUM(SalesRevenueAuto!$E$2:$E$40))</f>
        <v>16437.048361109824</v>
      </c>
      <c r="CC9">
        <f ca="1">(PriceStimulation!CH8)*(SUM(InventoryPurchasing!$E$2:$E$112)-SUM(SalesRevenueAuto!$E$2:$E$40))</f>
        <v>16231.486851587873</v>
      </c>
      <c r="CD9">
        <f ca="1">(PriceStimulation!CI8)*(SUM(InventoryPurchasing!$E$2:$E$112)-SUM(SalesRevenueAuto!$E$2:$E$40))</f>
        <v>14251.49361805692</v>
      </c>
      <c r="CE9">
        <f ca="1">(PriceStimulation!CJ8)*(SUM(InventoryPurchasing!$E$2:$E$112)-SUM(SalesRevenueAuto!$E$2:$E$40))</f>
        <v>14980.216851837105</v>
      </c>
      <c r="CF9">
        <f ca="1">(PriceStimulation!CK8)*(SUM(InventoryPurchasing!$E$2:$E$112)-SUM(SalesRevenueAuto!$E$2:$E$40))</f>
        <v>14248.136863304824</v>
      </c>
      <c r="CG9">
        <f ca="1">(PriceStimulation!CL8)*(SUM(InventoryPurchasing!$E$2:$E$112)-SUM(SalesRevenueAuto!$E$2:$E$40))</f>
        <v>15979.24605064039</v>
      </c>
      <c r="CH9">
        <f ca="1">(PriceStimulation!CM8)*(SUM(InventoryPurchasing!$E$2:$E$112)-SUM(SalesRevenueAuto!$E$2:$E$40))</f>
        <v>15741.936374992576</v>
      </c>
      <c r="CI9">
        <f ca="1">(PriceStimulation!CN8)*(SUM(InventoryPurchasing!$E$2:$E$112)-SUM(SalesRevenueAuto!$E$2:$E$40))</f>
        <v>17029.478505169904</v>
      </c>
      <c r="CJ9">
        <f ca="1">(PriceStimulation!CO8)*(SUM(InventoryPurchasing!$E$2:$E$112)-SUM(SalesRevenueAuto!$E$2:$E$40))</f>
        <v>16693.026259581417</v>
      </c>
      <c r="CK9">
        <f ca="1">(PriceStimulation!CP8)*(SUM(InventoryPurchasing!$E$2:$E$112)-SUM(SalesRevenueAuto!$E$2:$E$40))</f>
        <v>15238.022088062522</v>
      </c>
      <c r="CL9">
        <f ca="1">(PriceStimulation!CQ8)*(SUM(InventoryPurchasing!$E$2:$E$112)-SUM(SalesRevenueAuto!$E$2:$E$40))</f>
        <v>16491.36872881994</v>
      </c>
      <c r="CM9">
        <f ca="1">(PriceStimulation!CR8)*(SUM(InventoryPurchasing!$E$2:$E$112)-SUM(SalesRevenueAuto!$E$2:$E$40))</f>
        <v>14692.025532790181</v>
      </c>
      <c r="CN9">
        <f ca="1">(PriceStimulation!CS8)*(SUM(InventoryPurchasing!$E$2:$E$112)-SUM(SalesRevenueAuto!$E$2:$E$40))</f>
        <v>14515.912346003588</v>
      </c>
      <c r="CO9">
        <f ca="1">(PriceStimulation!CT8)*(SUM(InventoryPurchasing!$E$2:$E$112)-SUM(SalesRevenueAuto!$E$2:$E$40))</f>
        <v>16486.917576771004</v>
      </c>
      <c r="CP9">
        <f ca="1">(PriceStimulation!CU8)*(SUM(InventoryPurchasing!$E$2:$E$112)-SUM(SalesRevenueAuto!$E$2:$E$40))</f>
        <v>17892.744521930956</v>
      </c>
      <c r="CQ9">
        <f ca="1">(PriceStimulation!CV8)*(SUM(InventoryPurchasing!$E$2:$E$112)-SUM(SalesRevenueAuto!$E$2:$E$40))</f>
        <v>15031.526128819416</v>
      </c>
      <c r="CR9">
        <f ca="1">(PriceStimulation!CW8)*(SUM(InventoryPurchasing!$E$2:$E$112)-SUM(SalesRevenueAuto!$E$2:$E$40))</f>
        <v>16845.236287368898</v>
      </c>
      <c r="CS9">
        <f ca="1">(PriceStimulation!CX8)*(SUM(InventoryPurchasing!$E$2:$E$112)-SUM(SalesRevenueAuto!$E$2:$E$40))</f>
        <v>16519.698679088084</v>
      </c>
      <c r="CT9">
        <f ca="1">(PriceStimulation!CY8)*(SUM(InventoryPurchasing!$E$2:$E$112)-SUM(SalesRevenueAuto!$E$2:$E$40))</f>
        <v>14170.51076632496</v>
      </c>
      <c r="CU9">
        <f ca="1">(PriceStimulation!CZ8)*(SUM(InventoryPurchasing!$E$2:$E$112)-SUM(SalesRevenueAuto!$E$2:$E$40))</f>
        <v>16119.864200988293</v>
      </c>
      <c r="CV9">
        <f ca="1">(PriceStimulation!DA8)*(SUM(InventoryPurchasing!$E$2:$E$112)-SUM(SalesRevenueAuto!$E$2:$E$40))</f>
        <v>16270.038436296712</v>
      </c>
      <c r="CW9">
        <f ca="1">(PriceStimulation!DB8)*(SUM(InventoryPurchasing!$E$2:$E$112)-SUM(SalesRevenueAuto!$E$2:$E$40))</f>
        <v>18442.418951687985</v>
      </c>
      <c r="CX9">
        <f t="shared" ca="1" si="0"/>
        <v>16037.515719121677</v>
      </c>
      <c r="CY9">
        <f t="shared" ca="1" si="1"/>
        <v>14364.330896664986</v>
      </c>
      <c r="CZ9">
        <f t="shared" ca="1" si="2"/>
        <v>18102.951957036425</v>
      </c>
      <c r="DA9">
        <f t="shared" ca="1" si="3"/>
        <v>1673.1848224566911</v>
      </c>
      <c r="DB9" s="3">
        <f t="shared" ca="1" si="4"/>
        <v>0.10432942681151904</v>
      </c>
    </row>
    <row r="10" spans="1:106" x14ac:dyDescent="0.2">
      <c r="A10">
        <v>7</v>
      </c>
      <c r="B10">
        <f ca="1">(PriceStimulation!G9)*(SUM(InventoryPurchasing!$E$2:$E$112)-SUM(SalesRevenueAuto!$E$2:$E$40))</f>
        <v>17282.260664249901</v>
      </c>
      <c r="C10">
        <f ca="1">(PriceStimulation!H9)*(SUM(InventoryPurchasing!$E$2:$E$112)-SUM(SalesRevenueAuto!$E$2:$E$40))</f>
        <v>17419.309760651871</v>
      </c>
      <c r="D10">
        <f ca="1">(PriceStimulation!I9)*(SUM(InventoryPurchasing!$E$2:$E$112)-SUM(SalesRevenueAuto!$E$2:$E$40))</f>
        <v>16431.145599084033</v>
      </c>
      <c r="E10">
        <f ca="1">(PriceStimulation!J9)*(SUM(InventoryPurchasing!$E$2:$E$112)-SUM(SalesRevenueAuto!$E$2:$E$40))</f>
        <v>17354.167005987274</v>
      </c>
      <c r="F10">
        <f ca="1">(PriceStimulation!K9)*(SUM(InventoryPurchasing!$E$2:$E$112)-SUM(SalesRevenueAuto!$E$2:$E$40))</f>
        <v>15296.27221954048</v>
      </c>
      <c r="G10">
        <f ca="1">(PriceStimulation!L9)*(SUM(InventoryPurchasing!$E$2:$E$112)-SUM(SalesRevenueAuto!$E$2:$E$40))</f>
        <v>16694.027006683809</v>
      </c>
      <c r="H10">
        <f ca="1">(PriceStimulation!M9)*(SUM(InventoryPurchasing!$E$2:$E$112)-SUM(SalesRevenueAuto!$E$2:$E$40))</f>
        <v>16185.726399310039</v>
      </c>
      <c r="I10">
        <f ca="1">(PriceStimulation!N9)*(SUM(InventoryPurchasing!$E$2:$E$112)-SUM(SalesRevenueAuto!$E$2:$E$40))</f>
        <v>17025.019005123431</v>
      </c>
      <c r="J10">
        <f ca="1">(PriceStimulation!O9)*(SUM(InventoryPurchasing!$E$2:$E$112)-SUM(SalesRevenueAuto!$E$2:$E$40))</f>
        <v>15422.094232321191</v>
      </c>
      <c r="K10">
        <f ca="1">(PriceStimulation!P9)*(SUM(InventoryPurchasing!$E$2:$E$112)-SUM(SalesRevenueAuto!$E$2:$E$40))</f>
        <v>17254.243514782316</v>
      </c>
      <c r="L10">
        <f ca="1">(PriceStimulation!Q9)*(SUM(InventoryPurchasing!$E$2:$E$112)-SUM(SalesRevenueAuto!$E$2:$E$40))</f>
        <v>15550.670746298691</v>
      </c>
      <c r="M10">
        <f ca="1">(PriceStimulation!R9)*(SUM(InventoryPurchasing!$E$2:$E$112)-SUM(SalesRevenueAuto!$E$2:$E$40))</f>
        <v>17827.266589515209</v>
      </c>
      <c r="N10">
        <f ca="1">(PriceStimulation!S9)*(SUM(InventoryPurchasing!$E$2:$E$112)-SUM(SalesRevenueAuto!$E$2:$E$40))</f>
        <v>15721.599759284427</v>
      </c>
      <c r="O10">
        <f ca="1">(PriceStimulation!T9)*(SUM(InventoryPurchasing!$E$2:$E$112)-SUM(SalesRevenueAuto!$E$2:$E$40))</f>
        <v>16779.458096316834</v>
      </c>
      <c r="P10">
        <f ca="1">(PriceStimulation!U9)*(SUM(InventoryPurchasing!$E$2:$E$112)-SUM(SalesRevenueAuto!$E$2:$E$40))</f>
        <v>15019.552014006385</v>
      </c>
      <c r="Q10">
        <f ca="1">(PriceStimulation!V9)*(SUM(InventoryPurchasing!$E$2:$E$112)-SUM(SalesRevenueAuto!$E$2:$E$40))</f>
        <v>16055.199900046611</v>
      </c>
      <c r="R10">
        <f ca="1">(PriceStimulation!W9)*(SUM(InventoryPurchasing!$E$2:$E$112)-SUM(SalesRevenueAuto!$E$2:$E$40))</f>
        <v>16112.370238809621</v>
      </c>
      <c r="S10">
        <f ca="1">(PriceStimulation!X9)*(SUM(InventoryPurchasing!$E$2:$E$112)-SUM(SalesRevenueAuto!$E$2:$E$40))</f>
        <v>17124.802165185702</v>
      </c>
      <c r="T10">
        <f ca="1">(PriceStimulation!Y9)*(SUM(InventoryPurchasing!$E$2:$E$112)-SUM(SalesRevenueAuto!$E$2:$E$40))</f>
        <v>14746.958184471929</v>
      </c>
      <c r="U10">
        <f ca="1">(PriceStimulation!Z9)*(SUM(InventoryPurchasing!$E$2:$E$112)-SUM(SalesRevenueAuto!$E$2:$E$40))</f>
        <v>15661.913642569874</v>
      </c>
      <c r="V10">
        <f ca="1">(PriceStimulation!AA9)*(SUM(InventoryPurchasing!$E$2:$E$112)-SUM(SalesRevenueAuto!$E$2:$E$40))</f>
        <v>15138.560789288502</v>
      </c>
      <c r="W10">
        <f ca="1">(PriceStimulation!AB9)*(SUM(InventoryPurchasing!$E$2:$E$112)-SUM(SalesRevenueAuto!$E$2:$E$40))</f>
        <v>16965.32309860177</v>
      </c>
      <c r="X10">
        <f ca="1">(PriceStimulation!AC9)*(SUM(InventoryPurchasing!$E$2:$E$112)-SUM(SalesRevenueAuto!$E$2:$E$40))</f>
        <v>15874.306752672386</v>
      </c>
      <c r="Y10">
        <f ca="1">(PriceStimulation!AD9)*(SUM(InventoryPurchasing!$E$2:$E$112)-SUM(SalesRevenueAuto!$E$2:$E$40))</f>
        <v>16619.907015445166</v>
      </c>
      <c r="Z10">
        <f ca="1">(PriceStimulation!AE9)*(SUM(InventoryPurchasing!$E$2:$E$112)-SUM(SalesRevenueAuto!$E$2:$E$40))</f>
        <v>16316.032399143191</v>
      </c>
      <c r="AA10">
        <f ca="1">(PriceStimulation!AF9)*(SUM(InventoryPurchasing!$E$2:$E$112)-SUM(SalesRevenueAuto!$E$2:$E$40))</f>
        <v>16164.678721137263</v>
      </c>
      <c r="AB10">
        <f ca="1">(PriceStimulation!AG9)*(SUM(InventoryPurchasing!$E$2:$E$112)-SUM(SalesRevenueAuto!$E$2:$E$40))</f>
        <v>16345.640976566736</v>
      </c>
      <c r="AC10">
        <f ca="1">(PriceStimulation!AH9)*(SUM(InventoryPurchasing!$E$2:$E$112)-SUM(SalesRevenueAuto!$E$2:$E$40))</f>
        <v>15736.843919634672</v>
      </c>
      <c r="AD10">
        <f ca="1">(PriceStimulation!AI9)*(SUM(InventoryPurchasing!$E$2:$E$112)-SUM(SalesRevenueAuto!$E$2:$E$40))</f>
        <v>17021.946412050493</v>
      </c>
      <c r="AE10">
        <f ca="1">(PriceStimulation!AJ9)*(SUM(InventoryPurchasing!$E$2:$E$112)-SUM(SalesRevenueAuto!$E$2:$E$40))</f>
        <v>14942.405659687674</v>
      </c>
      <c r="AF10">
        <f ca="1">(PriceStimulation!AK9)*(SUM(InventoryPurchasing!$E$2:$E$112)-SUM(SalesRevenueAuto!$E$2:$E$40))</f>
        <v>17715.560582032882</v>
      </c>
      <c r="AG10">
        <f ca="1">(PriceStimulation!AL9)*(SUM(InventoryPurchasing!$E$2:$E$112)-SUM(SalesRevenueAuto!$E$2:$E$40))</f>
        <v>15171.786191462596</v>
      </c>
      <c r="AH10">
        <f ca="1">(PriceStimulation!AM9)*(SUM(InventoryPurchasing!$E$2:$E$112)-SUM(SalesRevenueAuto!$E$2:$E$40))</f>
        <v>18508.428081797847</v>
      </c>
      <c r="AI10">
        <f ca="1">(PriceStimulation!AN9)*(SUM(InventoryPurchasing!$E$2:$E$112)-SUM(SalesRevenueAuto!$E$2:$E$40))</f>
        <v>19336.44593734033</v>
      </c>
      <c r="AJ10">
        <f ca="1">(PriceStimulation!AO9)*(SUM(InventoryPurchasing!$E$2:$E$112)-SUM(SalesRevenueAuto!$E$2:$E$40))</f>
        <v>17778.333836256559</v>
      </c>
      <c r="AK10">
        <f ca="1">(PriceStimulation!AP9)*(SUM(InventoryPurchasing!$E$2:$E$112)-SUM(SalesRevenueAuto!$E$2:$E$40))</f>
        <v>18661.978123096738</v>
      </c>
      <c r="AL10">
        <f ca="1">(PriceStimulation!AQ9)*(SUM(InventoryPurchasing!$E$2:$E$112)-SUM(SalesRevenueAuto!$E$2:$E$40))</f>
        <v>15685.741486476594</v>
      </c>
      <c r="AM10">
        <f ca="1">(PriceStimulation!AR9)*(SUM(InventoryPurchasing!$E$2:$E$112)-SUM(SalesRevenueAuto!$E$2:$E$40))</f>
        <v>15979.612157464931</v>
      </c>
      <c r="AN10">
        <f ca="1">(PriceStimulation!AS9)*(SUM(InventoryPurchasing!$E$2:$E$112)-SUM(SalesRevenueAuto!$E$2:$E$40))</f>
        <v>15585.740397621757</v>
      </c>
      <c r="AO10">
        <f ca="1">(PriceStimulation!AT9)*(SUM(InventoryPurchasing!$E$2:$E$112)-SUM(SalesRevenueAuto!$E$2:$E$40))</f>
        <v>14486.701508904391</v>
      </c>
      <c r="AP10">
        <f ca="1">(PriceStimulation!AU9)*(SUM(InventoryPurchasing!$E$2:$E$112)-SUM(SalesRevenueAuto!$E$2:$E$40))</f>
        <v>16176.963332882291</v>
      </c>
      <c r="AQ10">
        <f ca="1">(PriceStimulation!AV9)*(SUM(InventoryPurchasing!$E$2:$E$112)-SUM(SalesRevenueAuto!$E$2:$E$40))</f>
        <v>15850.437042760399</v>
      </c>
      <c r="AR10">
        <f ca="1">(PriceStimulation!AW9)*(SUM(InventoryPurchasing!$E$2:$E$112)-SUM(SalesRevenueAuto!$E$2:$E$40))</f>
        <v>16052.218368744154</v>
      </c>
      <c r="AS10">
        <f ca="1">(PriceStimulation!AX9)*(SUM(InventoryPurchasing!$E$2:$E$112)-SUM(SalesRevenueAuto!$E$2:$E$40))</f>
        <v>18167.095848007717</v>
      </c>
      <c r="AT10">
        <f ca="1">(PriceStimulation!AY9)*(SUM(InventoryPurchasing!$E$2:$E$112)-SUM(SalesRevenueAuto!$E$2:$E$40))</f>
        <v>15946.47004376746</v>
      </c>
      <c r="AU10">
        <f ca="1">(PriceStimulation!AZ9)*(SUM(InventoryPurchasing!$E$2:$E$112)-SUM(SalesRevenueAuto!$E$2:$E$40))</f>
        <v>16104.826536000603</v>
      </c>
      <c r="AV10">
        <f ca="1">(PriceStimulation!BA9)*(SUM(InventoryPurchasing!$E$2:$E$112)-SUM(SalesRevenueAuto!$E$2:$E$40))</f>
        <v>15193.843437935026</v>
      </c>
      <c r="AW10">
        <f ca="1">(PriceStimulation!BB9)*(SUM(InventoryPurchasing!$E$2:$E$112)-SUM(SalesRevenueAuto!$E$2:$E$40))</f>
        <v>15382.835523867465</v>
      </c>
      <c r="AX10">
        <f ca="1">(PriceStimulation!BC9)*(SUM(InventoryPurchasing!$E$2:$E$112)-SUM(SalesRevenueAuto!$E$2:$E$40))</f>
        <v>16021.956418863758</v>
      </c>
      <c r="AY10">
        <f ca="1">(PriceStimulation!BD9)*(SUM(InventoryPurchasing!$E$2:$E$112)-SUM(SalesRevenueAuto!$E$2:$E$40))</f>
        <v>15598.768834836388</v>
      </c>
      <c r="AZ10">
        <f ca="1">(PriceStimulation!BE9)*(SUM(InventoryPurchasing!$E$2:$E$112)-SUM(SalesRevenueAuto!$E$2:$E$40))</f>
        <v>16595.001234401476</v>
      </c>
      <c r="BA10">
        <f ca="1">(PriceStimulation!BF9)*(SUM(InventoryPurchasing!$E$2:$E$112)-SUM(SalesRevenueAuto!$E$2:$E$40))</f>
        <v>14657.294619202725</v>
      </c>
      <c r="BB10">
        <f ca="1">(PriceStimulation!BG9)*(SUM(InventoryPurchasing!$E$2:$E$112)-SUM(SalesRevenueAuto!$E$2:$E$40))</f>
        <v>17578.019655614014</v>
      </c>
      <c r="BC10">
        <f ca="1">(PriceStimulation!BH9)*(SUM(InventoryPurchasing!$E$2:$E$112)-SUM(SalesRevenueAuto!$E$2:$E$40))</f>
        <v>15922.143443087945</v>
      </c>
      <c r="BD10">
        <f ca="1">(PriceStimulation!BI9)*(SUM(InventoryPurchasing!$E$2:$E$112)-SUM(SalesRevenueAuto!$E$2:$E$40))</f>
        <v>14560.671410312729</v>
      </c>
      <c r="BE10">
        <f ca="1">(PriceStimulation!BJ9)*(SUM(InventoryPurchasing!$E$2:$E$112)-SUM(SalesRevenueAuto!$E$2:$E$40))</f>
        <v>16735.545320740242</v>
      </c>
      <c r="BF10">
        <f ca="1">(PriceStimulation!BK9)*(SUM(InventoryPurchasing!$E$2:$E$112)-SUM(SalesRevenueAuto!$E$2:$E$40))</f>
        <v>17263.16660164416</v>
      </c>
      <c r="BG10">
        <f ca="1">(PriceStimulation!BL9)*(SUM(InventoryPurchasing!$E$2:$E$112)-SUM(SalesRevenueAuto!$E$2:$E$40))</f>
        <v>18543.480665215167</v>
      </c>
      <c r="BH10">
        <f ca="1">(PriceStimulation!BM9)*(SUM(InventoryPurchasing!$E$2:$E$112)-SUM(SalesRevenueAuto!$E$2:$E$40))</f>
        <v>16932.598646284092</v>
      </c>
      <c r="BI10">
        <f ca="1">(PriceStimulation!BN9)*(SUM(InventoryPurchasing!$E$2:$E$112)-SUM(SalesRevenueAuto!$E$2:$E$40))</f>
        <v>17058.524963880245</v>
      </c>
      <c r="BJ10">
        <f ca="1">(PriceStimulation!BO9)*(SUM(InventoryPurchasing!$E$2:$E$112)-SUM(SalesRevenueAuto!$E$2:$E$40))</f>
        <v>15410.061955144121</v>
      </c>
      <c r="BK10">
        <f ca="1">(PriceStimulation!BP9)*(SUM(InventoryPurchasing!$E$2:$E$112)-SUM(SalesRevenueAuto!$E$2:$E$40))</f>
        <v>14438.900958910008</v>
      </c>
      <c r="BL10">
        <f ca="1">(PriceStimulation!BQ9)*(SUM(InventoryPurchasing!$E$2:$E$112)-SUM(SalesRevenueAuto!$E$2:$E$40))</f>
        <v>14921.447622815693</v>
      </c>
      <c r="BM10">
        <f ca="1">(PriceStimulation!BR9)*(SUM(InventoryPurchasing!$E$2:$E$112)-SUM(SalesRevenueAuto!$E$2:$E$40))</f>
        <v>16832.758964532746</v>
      </c>
      <c r="BN10">
        <f ca="1">(PriceStimulation!BS9)*(SUM(InventoryPurchasing!$E$2:$E$112)-SUM(SalesRevenueAuto!$E$2:$E$40))</f>
        <v>18158.096786786286</v>
      </c>
      <c r="BO10">
        <f ca="1">(PriceStimulation!BT9)*(SUM(InventoryPurchasing!$E$2:$E$112)-SUM(SalesRevenueAuto!$E$2:$E$40))</f>
        <v>15298.578074094463</v>
      </c>
      <c r="BP10">
        <f ca="1">(PriceStimulation!BU9)*(SUM(InventoryPurchasing!$E$2:$E$112)-SUM(SalesRevenueAuto!$E$2:$E$40))</f>
        <v>15758.87213336541</v>
      </c>
      <c r="BQ10">
        <f ca="1">(PriceStimulation!BV9)*(SUM(InventoryPurchasing!$E$2:$E$112)-SUM(SalesRevenueAuto!$E$2:$E$40))</f>
        <v>16692.573542746242</v>
      </c>
      <c r="BR10">
        <f ca="1">(PriceStimulation!BW9)*(SUM(InventoryPurchasing!$E$2:$E$112)-SUM(SalesRevenueAuto!$E$2:$E$40))</f>
        <v>16366.121863144754</v>
      </c>
      <c r="BS10">
        <f ca="1">(PriceStimulation!BX9)*(SUM(InventoryPurchasing!$E$2:$E$112)-SUM(SalesRevenueAuto!$E$2:$E$40))</f>
        <v>14321.561966450834</v>
      </c>
      <c r="BT10">
        <f ca="1">(PriceStimulation!BY9)*(SUM(InventoryPurchasing!$E$2:$E$112)-SUM(SalesRevenueAuto!$E$2:$E$40))</f>
        <v>17767.017945400003</v>
      </c>
      <c r="BU10">
        <f ca="1">(PriceStimulation!BZ9)*(SUM(InventoryPurchasing!$E$2:$E$112)-SUM(SalesRevenueAuto!$E$2:$E$40))</f>
        <v>15150.627490115514</v>
      </c>
      <c r="BV10">
        <f ca="1">(PriceStimulation!CA9)*(SUM(InventoryPurchasing!$E$2:$E$112)-SUM(SalesRevenueAuto!$E$2:$E$40))</f>
        <v>17712.362416203094</v>
      </c>
      <c r="BW10">
        <f ca="1">(PriceStimulation!CB9)*(SUM(InventoryPurchasing!$E$2:$E$112)-SUM(SalesRevenueAuto!$E$2:$E$40))</f>
        <v>18018.547226992716</v>
      </c>
      <c r="BX10">
        <f ca="1">(PriceStimulation!CC9)*(SUM(InventoryPurchasing!$E$2:$E$112)-SUM(SalesRevenueAuto!$E$2:$E$40))</f>
        <v>16812.783621566588</v>
      </c>
      <c r="BY10">
        <f ca="1">(PriceStimulation!CD9)*(SUM(InventoryPurchasing!$E$2:$E$112)-SUM(SalesRevenueAuto!$E$2:$E$40))</f>
        <v>14639.345268626577</v>
      </c>
      <c r="BZ10">
        <f ca="1">(PriceStimulation!CE9)*(SUM(InventoryPurchasing!$E$2:$E$112)-SUM(SalesRevenueAuto!$E$2:$E$40))</f>
        <v>15813.56423172559</v>
      </c>
      <c r="CA10">
        <f ca="1">(PriceStimulation!CF9)*(SUM(InventoryPurchasing!$E$2:$E$112)-SUM(SalesRevenueAuto!$E$2:$E$40))</f>
        <v>15954.939505688813</v>
      </c>
      <c r="CB10">
        <f ca="1">(PriceStimulation!CG9)*(SUM(InventoryPurchasing!$E$2:$E$112)-SUM(SalesRevenueAuto!$E$2:$E$40))</f>
        <v>17116.861856592597</v>
      </c>
      <c r="CC10">
        <f ca="1">(PriceStimulation!CH9)*(SUM(InventoryPurchasing!$E$2:$E$112)-SUM(SalesRevenueAuto!$E$2:$E$40))</f>
        <v>16082.0608069143</v>
      </c>
      <c r="CD10">
        <f ca="1">(PriceStimulation!CI9)*(SUM(InventoryPurchasing!$E$2:$E$112)-SUM(SalesRevenueAuto!$E$2:$E$40))</f>
        <v>15577.195585744454</v>
      </c>
      <c r="CE10">
        <f ca="1">(PriceStimulation!CJ9)*(SUM(InventoryPurchasing!$E$2:$E$112)-SUM(SalesRevenueAuto!$E$2:$E$40))</f>
        <v>15058.603020965887</v>
      </c>
      <c r="CF10">
        <f ca="1">(PriceStimulation!CK9)*(SUM(InventoryPurchasing!$E$2:$E$112)-SUM(SalesRevenueAuto!$E$2:$E$40))</f>
        <v>14501.440427753072</v>
      </c>
      <c r="CG10">
        <f ca="1">(PriceStimulation!CL9)*(SUM(InventoryPurchasing!$E$2:$E$112)-SUM(SalesRevenueAuto!$E$2:$E$40))</f>
        <v>15505.802184346583</v>
      </c>
      <c r="CH10">
        <f ca="1">(PriceStimulation!CM9)*(SUM(InventoryPurchasing!$E$2:$E$112)-SUM(SalesRevenueAuto!$E$2:$E$40))</f>
        <v>16018.964477558222</v>
      </c>
      <c r="CI10">
        <f ca="1">(PriceStimulation!CN9)*(SUM(InventoryPurchasing!$E$2:$E$112)-SUM(SalesRevenueAuto!$E$2:$E$40))</f>
        <v>17747.643860657932</v>
      </c>
      <c r="CJ10">
        <f ca="1">(PriceStimulation!CO9)*(SUM(InventoryPurchasing!$E$2:$E$112)-SUM(SalesRevenueAuto!$E$2:$E$40))</f>
        <v>16833.892160772619</v>
      </c>
      <c r="CK10">
        <f ca="1">(PriceStimulation!CP9)*(SUM(InventoryPurchasing!$E$2:$E$112)-SUM(SalesRevenueAuto!$E$2:$E$40))</f>
        <v>15747.630839771631</v>
      </c>
      <c r="CL10">
        <f ca="1">(PriceStimulation!CQ9)*(SUM(InventoryPurchasing!$E$2:$E$112)-SUM(SalesRevenueAuto!$E$2:$E$40))</f>
        <v>16416.598754706414</v>
      </c>
      <c r="CM10">
        <f ca="1">(PriceStimulation!CR9)*(SUM(InventoryPurchasing!$E$2:$E$112)-SUM(SalesRevenueAuto!$E$2:$E$40))</f>
        <v>14386.855816855898</v>
      </c>
      <c r="CN10">
        <f ca="1">(PriceStimulation!CS9)*(SUM(InventoryPurchasing!$E$2:$E$112)-SUM(SalesRevenueAuto!$E$2:$E$40))</f>
        <v>14368.707466474772</v>
      </c>
      <c r="CO10">
        <f ca="1">(PriceStimulation!CT9)*(SUM(InventoryPurchasing!$E$2:$E$112)-SUM(SalesRevenueAuto!$E$2:$E$40))</f>
        <v>17360.496038658996</v>
      </c>
      <c r="CP10">
        <f ca="1">(PriceStimulation!CU9)*(SUM(InventoryPurchasing!$E$2:$E$112)-SUM(SalesRevenueAuto!$E$2:$E$40))</f>
        <v>18039.344662795222</v>
      </c>
      <c r="CQ10">
        <f ca="1">(PriceStimulation!CV9)*(SUM(InventoryPurchasing!$E$2:$E$112)-SUM(SalesRevenueAuto!$E$2:$E$40))</f>
        <v>16165.839455447385</v>
      </c>
      <c r="CR10">
        <f ca="1">(PriceStimulation!CW9)*(SUM(InventoryPurchasing!$E$2:$E$112)-SUM(SalesRevenueAuto!$E$2:$E$40))</f>
        <v>16879.308836049702</v>
      </c>
      <c r="CS10">
        <f ca="1">(PriceStimulation!CX9)*(SUM(InventoryPurchasing!$E$2:$E$112)-SUM(SalesRevenueAuto!$E$2:$E$40))</f>
        <v>17573.863435331208</v>
      </c>
      <c r="CT10">
        <f ca="1">(PriceStimulation!CY9)*(SUM(InventoryPurchasing!$E$2:$E$112)-SUM(SalesRevenueAuto!$E$2:$E$40))</f>
        <v>14618.329948235369</v>
      </c>
      <c r="CU10">
        <f ca="1">(PriceStimulation!CZ9)*(SUM(InventoryPurchasing!$E$2:$E$112)-SUM(SalesRevenueAuto!$E$2:$E$40))</f>
        <v>16562.329376267171</v>
      </c>
      <c r="CV10">
        <f ca="1">(PriceStimulation!DA9)*(SUM(InventoryPurchasing!$E$2:$E$112)-SUM(SalesRevenueAuto!$E$2:$E$40))</f>
        <v>16182.581786142864</v>
      </c>
      <c r="CW10">
        <f ca="1">(PriceStimulation!DB9)*(SUM(InventoryPurchasing!$E$2:$E$112)-SUM(SalesRevenueAuto!$E$2:$E$40))</f>
        <v>19209.204288029512</v>
      </c>
      <c r="CX10">
        <f t="shared" ca="1" si="0"/>
        <v>16313.636093993511</v>
      </c>
      <c r="CY10">
        <f t="shared" ca="1" si="1"/>
        <v>14500.703481810639</v>
      </c>
      <c r="CZ10">
        <f t="shared" ca="1" si="2"/>
        <v>18201.22907138673</v>
      </c>
      <c r="DA10">
        <f t="shared" ca="1" si="3"/>
        <v>1812.9326121828726</v>
      </c>
      <c r="DB10" s="3">
        <f t="shared" ca="1" si="4"/>
        <v>0.11112989168922145</v>
      </c>
    </row>
    <row r="11" spans="1:106" x14ac:dyDescent="0.2">
      <c r="A11">
        <v>8</v>
      </c>
      <c r="B11">
        <f ca="1">(PriceStimulation!G10)*(SUM(InventoryPurchasing!$E$2:$E$112)-SUM(SalesRevenueAuto!$E$2:$E$40))</f>
        <v>18108.300724641591</v>
      </c>
      <c r="C11">
        <f ca="1">(PriceStimulation!H10)*(SUM(InventoryPurchasing!$E$2:$E$112)-SUM(SalesRevenueAuto!$E$2:$E$40))</f>
        <v>17198.955553319964</v>
      </c>
      <c r="D11">
        <f ca="1">(PriceStimulation!I10)*(SUM(InventoryPurchasing!$E$2:$E$112)-SUM(SalesRevenueAuto!$E$2:$E$40))</f>
        <v>16589.540057085775</v>
      </c>
      <c r="E11">
        <f ca="1">(PriceStimulation!J10)*(SUM(InventoryPurchasing!$E$2:$E$112)-SUM(SalesRevenueAuto!$E$2:$E$40))</f>
        <v>17399.555871848086</v>
      </c>
      <c r="F11">
        <f ca="1">(PriceStimulation!K10)*(SUM(InventoryPurchasing!$E$2:$E$112)-SUM(SalesRevenueAuto!$E$2:$E$40))</f>
        <v>15571.863274271333</v>
      </c>
      <c r="G11">
        <f ca="1">(PriceStimulation!L10)*(SUM(InventoryPurchasing!$E$2:$E$112)-SUM(SalesRevenueAuto!$E$2:$E$40))</f>
        <v>17812.81717302453</v>
      </c>
      <c r="H11">
        <f ca="1">(PriceStimulation!M10)*(SUM(InventoryPurchasing!$E$2:$E$112)-SUM(SalesRevenueAuto!$E$2:$E$40))</f>
        <v>16777.82436527728</v>
      </c>
      <c r="I11">
        <f ca="1">(PriceStimulation!N10)*(SUM(InventoryPurchasing!$E$2:$E$112)-SUM(SalesRevenueAuto!$E$2:$E$40))</f>
        <v>17875.283434515215</v>
      </c>
      <c r="J11">
        <f ca="1">(PriceStimulation!O10)*(SUM(InventoryPurchasing!$E$2:$E$112)-SUM(SalesRevenueAuto!$E$2:$E$40))</f>
        <v>15773.494507201642</v>
      </c>
      <c r="K11">
        <f ca="1">(PriceStimulation!P10)*(SUM(InventoryPurchasing!$E$2:$E$112)-SUM(SalesRevenueAuto!$E$2:$E$40))</f>
        <v>17352.284082395632</v>
      </c>
      <c r="L11">
        <f ca="1">(PriceStimulation!Q10)*(SUM(InventoryPurchasing!$E$2:$E$112)-SUM(SalesRevenueAuto!$E$2:$E$40))</f>
        <v>15816.854406656281</v>
      </c>
      <c r="M11">
        <f ca="1">(PriceStimulation!R10)*(SUM(InventoryPurchasing!$E$2:$E$112)-SUM(SalesRevenueAuto!$E$2:$E$40))</f>
        <v>18759.177827110438</v>
      </c>
      <c r="N11">
        <f ca="1">(PriceStimulation!S10)*(SUM(InventoryPurchasing!$E$2:$E$112)-SUM(SalesRevenueAuto!$E$2:$E$40))</f>
        <v>15441.342898315172</v>
      </c>
      <c r="O11">
        <f ca="1">(PriceStimulation!T10)*(SUM(InventoryPurchasing!$E$2:$E$112)-SUM(SalesRevenueAuto!$E$2:$E$40))</f>
        <v>16855.602079871907</v>
      </c>
      <c r="P11">
        <f ca="1">(PriceStimulation!U10)*(SUM(InventoryPurchasing!$E$2:$E$112)-SUM(SalesRevenueAuto!$E$2:$E$40))</f>
        <v>15315.744239381893</v>
      </c>
      <c r="Q11">
        <f ca="1">(PriceStimulation!V10)*(SUM(InventoryPurchasing!$E$2:$E$112)-SUM(SalesRevenueAuto!$E$2:$E$40))</f>
        <v>15292.29683874798</v>
      </c>
      <c r="R11">
        <f ca="1">(PriceStimulation!W10)*(SUM(InventoryPurchasing!$E$2:$E$112)-SUM(SalesRevenueAuto!$E$2:$E$40))</f>
        <v>17000.458279007118</v>
      </c>
      <c r="S11">
        <f ca="1">(PriceStimulation!X10)*(SUM(InventoryPurchasing!$E$2:$E$112)-SUM(SalesRevenueAuto!$E$2:$E$40))</f>
        <v>17595.993360338623</v>
      </c>
      <c r="T11">
        <f ca="1">(PriceStimulation!Y10)*(SUM(InventoryPurchasing!$E$2:$E$112)-SUM(SalesRevenueAuto!$E$2:$E$40))</f>
        <v>15230.860466403725</v>
      </c>
      <c r="U11">
        <f ca="1">(PriceStimulation!Z10)*(SUM(InventoryPurchasing!$E$2:$E$112)-SUM(SalesRevenueAuto!$E$2:$E$40))</f>
        <v>15201.223769845248</v>
      </c>
      <c r="V11">
        <f ca="1">(PriceStimulation!AA10)*(SUM(InventoryPurchasing!$E$2:$E$112)-SUM(SalesRevenueAuto!$E$2:$E$40))</f>
        <v>15470.533377882015</v>
      </c>
      <c r="W11">
        <f ca="1">(PriceStimulation!AB10)*(SUM(InventoryPurchasing!$E$2:$E$112)-SUM(SalesRevenueAuto!$E$2:$E$40))</f>
        <v>16697.656369748256</v>
      </c>
      <c r="X11">
        <f ca="1">(PriceStimulation!AC10)*(SUM(InventoryPurchasing!$E$2:$E$112)-SUM(SalesRevenueAuto!$E$2:$E$40))</f>
        <v>15731.973043522583</v>
      </c>
      <c r="Y11">
        <f ca="1">(PriceStimulation!AD10)*(SUM(InventoryPurchasing!$E$2:$E$112)-SUM(SalesRevenueAuto!$E$2:$E$40))</f>
        <v>17524.738273375657</v>
      </c>
      <c r="Z11">
        <f ca="1">(PriceStimulation!AE10)*(SUM(InventoryPurchasing!$E$2:$E$112)-SUM(SalesRevenueAuto!$E$2:$E$40))</f>
        <v>15985.504001949377</v>
      </c>
      <c r="AA11">
        <f ca="1">(PriceStimulation!AF10)*(SUM(InventoryPurchasing!$E$2:$E$112)-SUM(SalesRevenueAuto!$E$2:$E$40))</f>
        <v>16963.680661904731</v>
      </c>
      <c r="AB11">
        <f ca="1">(PriceStimulation!AG10)*(SUM(InventoryPurchasing!$E$2:$E$112)-SUM(SalesRevenueAuto!$E$2:$E$40))</f>
        <v>16665.729696648283</v>
      </c>
      <c r="AC11">
        <f ca="1">(PriceStimulation!AH10)*(SUM(InventoryPurchasing!$E$2:$E$112)-SUM(SalesRevenueAuto!$E$2:$E$40))</f>
        <v>16206.679766720157</v>
      </c>
      <c r="AD11">
        <f ca="1">(PriceStimulation!AI10)*(SUM(InventoryPurchasing!$E$2:$E$112)-SUM(SalesRevenueAuto!$E$2:$E$40))</f>
        <v>17469.106906300411</v>
      </c>
      <c r="AE11">
        <f ca="1">(PriceStimulation!AJ10)*(SUM(InventoryPurchasing!$E$2:$E$112)-SUM(SalesRevenueAuto!$E$2:$E$40))</f>
        <v>15249.602369584674</v>
      </c>
      <c r="AF11">
        <f ca="1">(PriceStimulation!AK10)*(SUM(InventoryPurchasing!$E$2:$E$112)-SUM(SalesRevenueAuto!$E$2:$E$40))</f>
        <v>18112.866064148529</v>
      </c>
      <c r="AG11">
        <f ca="1">(PriceStimulation!AL10)*(SUM(InventoryPurchasing!$E$2:$E$112)-SUM(SalesRevenueAuto!$E$2:$E$40))</f>
        <v>15151.15801726813</v>
      </c>
      <c r="AH11">
        <f ca="1">(PriceStimulation!AM10)*(SUM(InventoryPurchasing!$E$2:$E$112)-SUM(SalesRevenueAuto!$E$2:$E$40))</f>
        <v>19015.401449152094</v>
      </c>
      <c r="AI11">
        <f ca="1">(PriceStimulation!AN10)*(SUM(InventoryPurchasing!$E$2:$E$112)-SUM(SalesRevenueAuto!$E$2:$E$40))</f>
        <v>19598.763091220007</v>
      </c>
      <c r="AJ11">
        <f ca="1">(PriceStimulation!AO10)*(SUM(InventoryPurchasing!$E$2:$E$112)-SUM(SalesRevenueAuto!$E$2:$E$40))</f>
        <v>18260.542201561366</v>
      </c>
      <c r="AK11">
        <f ca="1">(PriceStimulation!AP10)*(SUM(InventoryPurchasing!$E$2:$E$112)-SUM(SalesRevenueAuto!$E$2:$E$40))</f>
        <v>19677.720843048966</v>
      </c>
      <c r="AL11">
        <f ca="1">(PriceStimulation!AQ10)*(SUM(InventoryPurchasing!$E$2:$E$112)-SUM(SalesRevenueAuto!$E$2:$E$40))</f>
        <v>16200.283441217129</v>
      </c>
      <c r="AM11">
        <f ca="1">(PriceStimulation!AR10)*(SUM(InventoryPurchasing!$E$2:$E$112)-SUM(SalesRevenueAuto!$E$2:$E$40))</f>
        <v>16316.023598011761</v>
      </c>
      <c r="AN11">
        <f ca="1">(PriceStimulation!AS10)*(SUM(InventoryPurchasing!$E$2:$E$112)-SUM(SalesRevenueAuto!$E$2:$E$40))</f>
        <v>15092.261888249892</v>
      </c>
      <c r="AO11">
        <f ca="1">(PriceStimulation!AT10)*(SUM(InventoryPurchasing!$E$2:$E$112)-SUM(SalesRevenueAuto!$E$2:$E$40))</f>
        <v>14102.514868908655</v>
      </c>
      <c r="AP11">
        <f ca="1">(PriceStimulation!AU10)*(SUM(InventoryPurchasing!$E$2:$E$112)-SUM(SalesRevenueAuto!$E$2:$E$40))</f>
        <v>16422.478454673907</v>
      </c>
      <c r="AQ11">
        <f ca="1">(PriceStimulation!AV10)*(SUM(InventoryPurchasing!$E$2:$E$112)-SUM(SalesRevenueAuto!$E$2:$E$40))</f>
        <v>15373.577144521205</v>
      </c>
      <c r="AR11">
        <f ca="1">(PriceStimulation!AW10)*(SUM(InventoryPurchasing!$E$2:$E$112)-SUM(SalesRevenueAuto!$E$2:$E$40))</f>
        <v>15801.87992702577</v>
      </c>
      <c r="AS11">
        <f ca="1">(PriceStimulation!AX10)*(SUM(InventoryPurchasing!$E$2:$E$112)-SUM(SalesRevenueAuto!$E$2:$E$40))</f>
        <v>18507.58367480581</v>
      </c>
      <c r="AT11">
        <f ca="1">(PriceStimulation!AY10)*(SUM(InventoryPurchasing!$E$2:$E$112)-SUM(SalesRevenueAuto!$E$2:$E$40))</f>
        <v>15430.486367254538</v>
      </c>
      <c r="AU11">
        <f ca="1">(PriceStimulation!AZ10)*(SUM(InventoryPurchasing!$E$2:$E$112)-SUM(SalesRevenueAuto!$E$2:$E$40))</f>
        <v>15771.77787336821</v>
      </c>
      <c r="AV11">
        <f ca="1">(PriceStimulation!BA10)*(SUM(InventoryPurchasing!$E$2:$E$112)-SUM(SalesRevenueAuto!$E$2:$E$40))</f>
        <v>15700.383006223508</v>
      </c>
      <c r="AW11">
        <f ca="1">(PriceStimulation!BB10)*(SUM(InventoryPurchasing!$E$2:$E$112)-SUM(SalesRevenueAuto!$E$2:$E$40))</f>
        <v>15661.742424439257</v>
      </c>
      <c r="AX11">
        <f ca="1">(PriceStimulation!BC10)*(SUM(InventoryPurchasing!$E$2:$E$112)-SUM(SalesRevenueAuto!$E$2:$E$40))</f>
        <v>16709.480281557549</v>
      </c>
      <c r="AY11">
        <f ca="1">(PriceStimulation!BD10)*(SUM(InventoryPurchasing!$E$2:$E$112)-SUM(SalesRevenueAuto!$E$2:$E$40))</f>
        <v>16057.757864889327</v>
      </c>
      <c r="AZ11">
        <f ca="1">(PriceStimulation!BE10)*(SUM(InventoryPurchasing!$E$2:$E$112)-SUM(SalesRevenueAuto!$E$2:$E$40))</f>
        <v>16902.445094502033</v>
      </c>
      <c r="BA11">
        <f ca="1">(PriceStimulation!BF10)*(SUM(InventoryPurchasing!$E$2:$E$112)-SUM(SalesRevenueAuto!$E$2:$E$40))</f>
        <v>15062.812825671313</v>
      </c>
      <c r="BB11">
        <f ca="1">(PriceStimulation!BG10)*(SUM(InventoryPurchasing!$E$2:$E$112)-SUM(SalesRevenueAuto!$E$2:$E$40))</f>
        <v>17320.915658243881</v>
      </c>
      <c r="BC11">
        <f ca="1">(PriceStimulation!BH10)*(SUM(InventoryPurchasing!$E$2:$E$112)-SUM(SalesRevenueAuto!$E$2:$E$40))</f>
        <v>15827.005188194484</v>
      </c>
      <c r="BD11">
        <f ca="1">(PriceStimulation!BI10)*(SUM(InventoryPurchasing!$E$2:$E$112)-SUM(SalesRevenueAuto!$E$2:$E$40))</f>
        <v>14162.687511951734</v>
      </c>
      <c r="BE11">
        <f ca="1">(PriceStimulation!BJ10)*(SUM(InventoryPurchasing!$E$2:$E$112)-SUM(SalesRevenueAuto!$E$2:$E$40))</f>
        <v>16803.213540701643</v>
      </c>
      <c r="BF11">
        <f ca="1">(PriceStimulation!BK10)*(SUM(InventoryPurchasing!$E$2:$E$112)-SUM(SalesRevenueAuto!$E$2:$E$40))</f>
        <v>17935.996014630702</v>
      </c>
      <c r="BG11">
        <f ca="1">(PriceStimulation!BL10)*(SUM(InventoryPurchasing!$E$2:$E$112)-SUM(SalesRevenueAuto!$E$2:$E$40))</f>
        <v>18412.630720727135</v>
      </c>
      <c r="BH11">
        <f ca="1">(PriceStimulation!BM10)*(SUM(InventoryPurchasing!$E$2:$E$112)-SUM(SalesRevenueAuto!$E$2:$E$40))</f>
        <v>17395.558943356787</v>
      </c>
      <c r="BI11">
        <f ca="1">(PriceStimulation!BN10)*(SUM(InventoryPurchasing!$E$2:$E$112)-SUM(SalesRevenueAuto!$E$2:$E$40))</f>
        <v>17253.365888401462</v>
      </c>
      <c r="BJ11">
        <f ca="1">(PriceStimulation!BO10)*(SUM(InventoryPurchasing!$E$2:$E$112)-SUM(SalesRevenueAuto!$E$2:$E$40))</f>
        <v>15378.558452480391</v>
      </c>
      <c r="BK11">
        <f ca="1">(PriceStimulation!BP10)*(SUM(InventoryPurchasing!$E$2:$E$112)-SUM(SalesRevenueAuto!$E$2:$E$40))</f>
        <v>14113.847049808744</v>
      </c>
      <c r="BL11">
        <f ca="1">(PriceStimulation!BQ10)*(SUM(InventoryPurchasing!$E$2:$E$112)-SUM(SalesRevenueAuto!$E$2:$E$40))</f>
        <v>14543.243585881915</v>
      </c>
      <c r="BM11">
        <f ca="1">(PriceStimulation!BR10)*(SUM(InventoryPurchasing!$E$2:$E$112)-SUM(SalesRevenueAuto!$E$2:$E$40))</f>
        <v>17195.440304595475</v>
      </c>
      <c r="BN11">
        <f ca="1">(PriceStimulation!BS10)*(SUM(InventoryPurchasing!$E$2:$E$112)-SUM(SalesRevenueAuto!$E$2:$E$40))</f>
        <v>18169.982480141291</v>
      </c>
      <c r="BO11">
        <f ca="1">(PriceStimulation!BT10)*(SUM(InventoryPurchasing!$E$2:$E$112)-SUM(SalesRevenueAuto!$E$2:$E$40))</f>
        <v>16042.826713685872</v>
      </c>
      <c r="BP11">
        <f ca="1">(PriceStimulation!BU10)*(SUM(InventoryPurchasing!$E$2:$E$112)-SUM(SalesRevenueAuto!$E$2:$E$40))</f>
        <v>15978.884600530961</v>
      </c>
      <c r="BQ11">
        <f ca="1">(PriceStimulation!BV10)*(SUM(InventoryPurchasing!$E$2:$E$112)-SUM(SalesRevenueAuto!$E$2:$E$40))</f>
        <v>16294.572198111449</v>
      </c>
      <c r="BR11">
        <f ca="1">(PriceStimulation!BW10)*(SUM(InventoryPurchasing!$E$2:$E$112)-SUM(SalesRevenueAuto!$E$2:$E$40))</f>
        <v>17108.605117988031</v>
      </c>
      <c r="BS11">
        <f ca="1">(PriceStimulation!BX10)*(SUM(InventoryPurchasing!$E$2:$E$112)-SUM(SalesRevenueAuto!$E$2:$E$40))</f>
        <v>13767.090622325955</v>
      </c>
      <c r="BT11">
        <f ca="1">(PriceStimulation!BY10)*(SUM(InventoryPurchasing!$E$2:$E$112)-SUM(SalesRevenueAuto!$E$2:$E$40))</f>
        <v>18655.405038047913</v>
      </c>
      <c r="BU11">
        <f ca="1">(PriceStimulation!BZ10)*(SUM(InventoryPurchasing!$E$2:$E$112)-SUM(SalesRevenueAuto!$E$2:$E$40))</f>
        <v>15486.706488831391</v>
      </c>
      <c r="BV11">
        <f ca="1">(PriceStimulation!CA10)*(SUM(InventoryPurchasing!$E$2:$E$112)-SUM(SalesRevenueAuto!$E$2:$E$40))</f>
        <v>18454.17424084005</v>
      </c>
      <c r="BW11">
        <f ca="1">(PriceStimulation!CB10)*(SUM(InventoryPurchasing!$E$2:$E$112)-SUM(SalesRevenueAuto!$E$2:$E$40))</f>
        <v>18558.630562651819</v>
      </c>
      <c r="BX11">
        <f ca="1">(PriceStimulation!CC10)*(SUM(InventoryPurchasing!$E$2:$E$112)-SUM(SalesRevenueAuto!$E$2:$E$40))</f>
        <v>16885.579705234526</v>
      </c>
      <c r="BY11">
        <f ca="1">(PriceStimulation!CD10)*(SUM(InventoryPurchasing!$E$2:$E$112)-SUM(SalesRevenueAuto!$E$2:$E$40))</f>
        <v>14916.934589496776</v>
      </c>
      <c r="BZ11">
        <f ca="1">(PriceStimulation!CE10)*(SUM(InventoryPurchasing!$E$2:$E$112)-SUM(SalesRevenueAuto!$E$2:$E$40))</f>
        <v>16245.997951498102</v>
      </c>
      <c r="CA11">
        <f ca="1">(PriceStimulation!CF10)*(SUM(InventoryPurchasing!$E$2:$E$112)-SUM(SalesRevenueAuto!$E$2:$E$40))</f>
        <v>15207.122123739888</v>
      </c>
      <c r="CB11">
        <f ca="1">(PriceStimulation!CG10)*(SUM(InventoryPurchasing!$E$2:$E$112)-SUM(SalesRevenueAuto!$E$2:$E$40))</f>
        <v>18164.444489272148</v>
      </c>
      <c r="CC11">
        <f ca="1">(PriceStimulation!CH10)*(SUM(InventoryPurchasing!$E$2:$E$112)-SUM(SalesRevenueAuto!$E$2:$E$40))</f>
        <v>16610.903783569425</v>
      </c>
      <c r="CD11">
        <f ca="1">(PriceStimulation!CI10)*(SUM(InventoryPurchasing!$E$2:$E$112)-SUM(SalesRevenueAuto!$E$2:$E$40))</f>
        <v>16425.47004443896</v>
      </c>
      <c r="CE11">
        <f ca="1">(PriceStimulation!CJ10)*(SUM(InventoryPurchasing!$E$2:$E$112)-SUM(SalesRevenueAuto!$E$2:$E$40))</f>
        <v>15326.322508971711</v>
      </c>
      <c r="CF11">
        <f ca="1">(PriceStimulation!CK10)*(SUM(InventoryPurchasing!$E$2:$E$112)-SUM(SalesRevenueAuto!$E$2:$E$40))</f>
        <v>14615.819604467142</v>
      </c>
      <c r="CG11">
        <f ca="1">(PriceStimulation!CL10)*(SUM(InventoryPurchasing!$E$2:$E$112)-SUM(SalesRevenueAuto!$E$2:$E$40))</f>
        <v>15885.002573992371</v>
      </c>
      <c r="CH11">
        <f ca="1">(PriceStimulation!CM10)*(SUM(InventoryPurchasing!$E$2:$E$112)-SUM(SalesRevenueAuto!$E$2:$E$40))</f>
        <v>16634.099023974006</v>
      </c>
      <c r="CI11">
        <f ca="1">(PriceStimulation!CN10)*(SUM(InventoryPurchasing!$E$2:$E$112)-SUM(SalesRevenueAuto!$E$2:$E$40))</f>
        <v>17682.346731089303</v>
      </c>
      <c r="CJ11">
        <f ca="1">(PriceStimulation!CO10)*(SUM(InventoryPurchasing!$E$2:$E$112)-SUM(SalesRevenueAuto!$E$2:$E$40))</f>
        <v>16357.208816449362</v>
      </c>
      <c r="CK11">
        <f ca="1">(PriceStimulation!CP10)*(SUM(InventoryPurchasing!$E$2:$E$112)-SUM(SalesRevenueAuto!$E$2:$E$40))</f>
        <v>14856.726046134881</v>
      </c>
      <c r="CL11">
        <f ca="1">(PriceStimulation!CQ10)*(SUM(InventoryPurchasing!$E$2:$E$112)-SUM(SalesRevenueAuto!$E$2:$E$40))</f>
        <v>16004.149962689542</v>
      </c>
      <c r="CM11">
        <f ca="1">(PriceStimulation!CR10)*(SUM(InventoryPurchasing!$E$2:$E$112)-SUM(SalesRevenueAuto!$E$2:$E$40))</f>
        <v>14942.955336673722</v>
      </c>
      <c r="CN11">
        <f ca="1">(PriceStimulation!CS10)*(SUM(InventoryPurchasing!$E$2:$E$112)-SUM(SalesRevenueAuto!$E$2:$E$40))</f>
        <v>14625.227537704004</v>
      </c>
      <c r="CO11">
        <f ca="1">(PriceStimulation!CT10)*(SUM(InventoryPurchasing!$E$2:$E$112)-SUM(SalesRevenueAuto!$E$2:$E$40))</f>
        <v>17413.341728300682</v>
      </c>
      <c r="CP11">
        <f ca="1">(PriceStimulation!CU10)*(SUM(InventoryPurchasing!$E$2:$E$112)-SUM(SalesRevenueAuto!$E$2:$E$40))</f>
        <v>18221.815714166911</v>
      </c>
      <c r="CQ11">
        <f ca="1">(PriceStimulation!CV10)*(SUM(InventoryPurchasing!$E$2:$E$112)-SUM(SalesRevenueAuto!$E$2:$E$40))</f>
        <v>16404.339753606753</v>
      </c>
      <c r="CR11">
        <f ca="1">(PriceStimulation!CW10)*(SUM(InventoryPurchasing!$E$2:$E$112)-SUM(SalesRevenueAuto!$E$2:$E$40))</f>
        <v>17477.355736154208</v>
      </c>
      <c r="CS11">
        <f ca="1">(PriceStimulation!CX10)*(SUM(InventoryPurchasing!$E$2:$E$112)-SUM(SalesRevenueAuto!$E$2:$E$40))</f>
        <v>18363.497146717134</v>
      </c>
      <c r="CT11">
        <f ca="1">(PriceStimulation!CY10)*(SUM(InventoryPurchasing!$E$2:$E$112)-SUM(SalesRevenueAuto!$E$2:$E$40))</f>
        <v>14156.846634109583</v>
      </c>
      <c r="CU11">
        <f ca="1">(PriceStimulation!CZ10)*(SUM(InventoryPurchasing!$E$2:$E$112)-SUM(SalesRevenueAuto!$E$2:$E$40))</f>
        <v>15246.86977620166</v>
      </c>
      <c r="CV11">
        <f ca="1">(PriceStimulation!DA10)*(SUM(InventoryPurchasing!$E$2:$E$112)-SUM(SalesRevenueAuto!$E$2:$E$40))</f>
        <v>16003.634186360712</v>
      </c>
      <c r="CW11">
        <f ca="1">(PriceStimulation!DB10)*(SUM(InventoryPurchasing!$E$2:$E$112)-SUM(SalesRevenueAuto!$E$2:$E$40))</f>
        <v>20084.734993716324</v>
      </c>
      <c r="CX11">
        <f t="shared" ca="1" si="0"/>
        <v>16514.827054994734</v>
      </c>
      <c r="CY11">
        <f t="shared" ca="1" si="1"/>
        <v>14524.215782185407</v>
      </c>
      <c r="CZ11">
        <f t="shared" ca="1" si="2"/>
        <v>18665.782316954166</v>
      </c>
      <c r="DA11">
        <f t="shared" ca="1" si="3"/>
        <v>1990.6112728093267</v>
      </c>
      <c r="DB11" s="3">
        <f t="shared" ca="1" si="4"/>
        <v>0.1205347937450721</v>
      </c>
    </row>
    <row r="12" spans="1:106" x14ac:dyDescent="0.2">
      <c r="A12">
        <v>9</v>
      </c>
      <c r="B12">
        <f ca="1">(PriceStimulation!G11)*(SUM(InventoryPurchasing!$E$2:$E$112)-SUM(SalesRevenueAuto!$E$2:$E$40))</f>
        <v>17813.889378100324</v>
      </c>
      <c r="C12">
        <f ca="1">(PriceStimulation!H11)*(SUM(InventoryPurchasing!$E$2:$E$112)-SUM(SalesRevenueAuto!$E$2:$E$40))</f>
        <v>16889.255706684518</v>
      </c>
      <c r="D12">
        <f ca="1">(PriceStimulation!I11)*(SUM(InventoryPurchasing!$E$2:$E$112)-SUM(SalesRevenueAuto!$E$2:$E$40))</f>
        <v>16287.504105453121</v>
      </c>
      <c r="E12">
        <f ca="1">(PriceStimulation!J11)*(SUM(InventoryPurchasing!$E$2:$E$112)-SUM(SalesRevenueAuto!$E$2:$E$40))</f>
        <v>17862.49393223958</v>
      </c>
      <c r="F12">
        <f ca="1">(PriceStimulation!K11)*(SUM(InventoryPurchasing!$E$2:$E$112)-SUM(SalesRevenueAuto!$E$2:$E$40))</f>
        <v>15937.421301544971</v>
      </c>
      <c r="G12">
        <f ca="1">(PriceStimulation!L11)*(SUM(InventoryPurchasing!$E$2:$E$112)-SUM(SalesRevenueAuto!$E$2:$E$40))</f>
        <v>18346.195567574319</v>
      </c>
      <c r="H12">
        <f ca="1">(PriceStimulation!M11)*(SUM(InventoryPurchasing!$E$2:$E$112)-SUM(SalesRevenueAuto!$E$2:$E$40))</f>
        <v>16260.463758294061</v>
      </c>
      <c r="I12">
        <f ca="1">(PriceStimulation!N11)*(SUM(InventoryPurchasing!$E$2:$E$112)-SUM(SalesRevenueAuto!$E$2:$E$40))</f>
        <v>17102.783290225383</v>
      </c>
      <c r="J12">
        <f ca="1">(PriceStimulation!O11)*(SUM(InventoryPurchasing!$E$2:$E$112)-SUM(SalesRevenueAuto!$E$2:$E$40))</f>
        <v>16245.939685565869</v>
      </c>
      <c r="K12">
        <f ca="1">(PriceStimulation!P11)*(SUM(InventoryPurchasing!$E$2:$E$112)-SUM(SalesRevenueAuto!$E$2:$E$40))</f>
        <v>17333.00196864114</v>
      </c>
      <c r="L12">
        <f ca="1">(PriceStimulation!Q11)*(SUM(InventoryPurchasing!$E$2:$E$112)-SUM(SalesRevenueAuto!$E$2:$E$40))</f>
        <v>16507.301722127839</v>
      </c>
      <c r="M12">
        <f ca="1">(PriceStimulation!R11)*(SUM(InventoryPurchasing!$E$2:$E$112)-SUM(SalesRevenueAuto!$E$2:$E$40))</f>
        <v>17913.566013307678</v>
      </c>
      <c r="N12">
        <f ca="1">(PriceStimulation!S11)*(SUM(InventoryPurchasing!$E$2:$E$112)-SUM(SalesRevenueAuto!$E$2:$E$40))</f>
        <v>15406.508024981031</v>
      </c>
      <c r="O12">
        <f ca="1">(PriceStimulation!T11)*(SUM(InventoryPurchasing!$E$2:$E$112)-SUM(SalesRevenueAuto!$E$2:$E$40))</f>
        <v>16521.658799494206</v>
      </c>
      <c r="P12">
        <f ca="1">(PriceStimulation!U11)*(SUM(InventoryPurchasing!$E$2:$E$112)-SUM(SalesRevenueAuto!$E$2:$E$40))</f>
        <v>16248.583460765847</v>
      </c>
      <c r="Q12">
        <f ca="1">(PriceStimulation!V11)*(SUM(InventoryPurchasing!$E$2:$E$112)-SUM(SalesRevenueAuto!$E$2:$E$40))</f>
        <v>15770.702617492358</v>
      </c>
      <c r="R12">
        <f ca="1">(PriceStimulation!W11)*(SUM(InventoryPurchasing!$E$2:$E$112)-SUM(SalesRevenueAuto!$E$2:$E$40))</f>
        <v>17217.300730592087</v>
      </c>
      <c r="S12">
        <f ca="1">(PriceStimulation!X11)*(SUM(InventoryPurchasing!$E$2:$E$112)-SUM(SalesRevenueAuto!$E$2:$E$40))</f>
        <v>17076.475464194275</v>
      </c>
      <c r="T12">
        <f ca="1">(PriceStimulation!Y11)*(SUM(InventoryPurchasing!$E$2:$E$112)-SUM(SalesRevenueAuto!$E$2:$E$40))</f>
        <v>15184.752472125176</v>
      </c>
      <c r="U12">
        <f ca="1">(PriceStimulation!Z11)*(SUM(InventoryPurchasing!$E$2:$E$112)-SUM(SalesRevenueAuto!$E$2:$E$40))</f>
        <v>15495.117497133424</v>
      </c>
      <c r="V12">
        <f ca="1">(PriceStimulation!AA11)*(SUM(InventoryPurchasing!$E$2:$E$112)-SUM(SalesRevenueAuto!$E$2:$E$40))</f>
        <v>15432.969754314447</v>
      </c>
      <c r="W12">
        <f ca="1">(PriceStimulation!AB11)*(SUM(InventoryPurchasing!$E$2:$E$112)-SUM(SalesRevenueAuto!$E$2:$E$40))</f>
        <v>16803.377562426067</v>
      </c>
      <c r="X12">
        <f ca="1">(PriceStimulation!AC11)*(SUM(InventoryPurchasing!$E$2:$E$112)-SUM(SalesRevenueAuto!$E$2:$E$40))</f>
        <v>15272.024702340943</v>
      </c>
      <c r="Y12">
        <f ca="1">(PriceStimulation!AD11)*(SUM(InventoryPurchasing!$E$2:$E$112)-SUM(SalesRevenueAuto!$E$2:$E$40))</f>
        <v>17884.626151233369</v>
      </c>
      <c r="Z12">
        <f ca="1">(PriceStimulation!AE11)*(SUM(InventoryPurchasing!$E$2:$E$112)-SUM(SalesRevenueAuto!$E$2:$E$40))</f>
        <v>16813.396466798731</v>
      </c>
      <c r="AA12">
        <f ca="1">(PriceStimulation!AF11)*(SUM(InventoryPurchasing!$E$2:$E$112)-SUM(SalesRevenueAuto!$E$2:$E$40))</f>
        <v>17305.546744341485</v>
      </c>
      <c r="AB12">
        <f ca="1">(PriceStimulation!AG11)*(SUM(InventoryPurchasing!$E$2:$E$112)-SUM(SalesRevenueAuto!$E$2:$E$40))</f>
        <v>16996.24628420033</v>
      </c>
      <c r="AC12">
        <f ca="1">(PriceStimulation!AH11)*(SUM(InventoryPurchasing!$E$2:$E$112)-SUM(SalesRevenueAuto!$E$2:$E$40))</f>
        <v>16515.420802721288</v>
      </c>
      <c r="AD12">
        <f ca="1">(PriceStimulation!AI11)*(SUM(InventoryPurchasing!$E$2:$E$112)-SUM(SalesRevenueAuto!$E$2:$E$40))</f>
        <v>17992.301770995942</v>
      </c>
      <c r="AE12">
        <f ca="1">(PriceStimulation!AJ11)*(SUM(InventoryPurchasing!$E$2:$E$112)-SUM(SalesRevenueAuto!$E$2:$E$40))</f>
        <v>14818.791029413165</v>
      </c>
      <c r="AF12">
        <f ca="1">(PriceStimulation!AK11)*(SUM(InventoryPurchasing!$E$2:$E$112)-SUM(SalesRevenueAuto!$E$2:$E$40))</f>
        <v>19286.55157816955</v>
      </c>
      <c r="AG12">
        <f ca="1">(PriceStimulation!AL11)*(SUM(InventoryPurchasing!$E$2:$E$112)-SUM(SalesRevenueAuto!$E$2:$E$40))</f>
        <v>14716.993943768028</v>
      </c>
      <c r="AH12">
        <f ca="1">(PriceStimulation!AM11)*(SUM(InventoryPurchasing!$E$2:$E$112)-SUM(SalesRevenueAuto!$E$2:$E$40))</f>
        <v>20435.79123250458</v>
      </c>
      <c r="AI12">
        <f ca="1">(PriceStimulation!AN11)*(SUM(InventoryPurchasing!$E$2:$E$112)-SUM(SalesRevenueAuto!$E$2:$E$40))</f>
        <v>19396.333655789011</v>
      </c>
      <c r="AJ12">
        <f ca="1">(PriceStimulation!AO11)*(SUM(InventoryPurchasing!$E$2:$E$112)-SUM(SalesRevenueAuto!$E$2:$E$40))</f>
        <v>18043.216239739508</v>
      </c>
      <c r="AK12">
        <f ca="1">(PriceStimulation!AP11)*(SUM(InventoryPurchasing!$E$2:$E$112)-SUM(SalesRevenueAuto!$E$2:$E$40))</f>
        <v>20866.998205496089</v>
      </c>
      <c r="AL12">
        <f ca="1">(PriceStimulation!AQ11)*(SUM(InventoryPurchasing!$E$2:$E$112)-SUM(SalesRevenueAuto!$E$2:$E$40))</f>
        <v>16741.587463730291</v>
      </c>
      <c r="AM12">
        <f ca="1">(PriceStimulation!AR11)*(SUM(InventoryPurchasing!$E$2:$E$112)-SUM(SalesRevenueAuto!$E$2:$E$40))</f>
        <v>17575.72872938028</v>
      </c>
      <c r="AN12">
        <f ca="1">(PriceStimulation!AS11)*(SUM(InventoryPurchasing!$E$2:$E$112)-SUM(SalesRevenueAuto!$E$2:$E$40))</f>
        <v>15435.97603092232</v>
      </c>
      <c r="AO12">
        <f ca="1">(PriceStimulation!AT11)*(SUM(InventoryPurchasing!$E$2:$E$112)-SUM(SalesRevenueAuto!$E$2:$E$40))</f>
        <v>14999.800119736834</v>
      </c>
      <c r="AP12">
        <f ca="1">(PriceStimulation!AU11)*(SUM(InventoryPurchasing!$E$2:$E$112)-SUM(SalesRevenueAuto!$E$2:$E$40))</f>
        <v>18071.709145866665</v>
      </c>
      <c r="AQ12">
        <f ca="1">(PriceStimulation!AV11)*(SUM(InventoryPurchasing!$E$2:$E$112)-SUM(SalesRevenueAuto!$E$2:$E$40))</f>
        <v>15310.258432660818</v>
      </c>
      <c r="AR12">
        <f ca="1">(PriceStimulation!AW11)*(SUM(InventoryPurchasing!$E$2:$E$112)-SUM(SalesRevenueAuto!$E$2:$E$40))</f>
        <v>16110.131075943596</v>
      </c>
      <c r="AS12">
        <f ca="1">(PriceStimulation!AX11)*(SUM(InventoryPurchasing!$E$2:$E$112)-SUM(SalesRevenueAuto!$E$2:$E$40))</f>
        <v>19032.828054901736</v>
      </c>
      <c r="AT12">
        <f ca="1">(PriceStimulation!AY11)*(SUM(InventoryPurchasing!$E$2:$E$112)-SUM(SalesRevenueAuto!$E$2:$E$40))</f>
        <v>14889.187385936415</v>
      </c>
      <c r="AU12">
        <f ca="1">(PriceStimulation!AZ11)*(SUM(InventoryPurchasing!$E$2:$E$112)-SUM(SalesRevenueAuto!$E$2:$E$40))</f>
        <v>15876.89874753689</v>
      </c>
      <c r="AV12">
        <f ca="1">(PriceStimulation!BA11)*(SUM(InventoryPurchasing!$E$2:$E$112)-SUM(SalesRevenueAuto!$E$2:$E$40))</f>
        <v>16054.80575007958</v>
      </c>
      <c r="AW12">
        <f ca="1">(PriceStimulation!BB11)*(SUM(InventoryPurchasing!$E$2:$E$112)-SUM(SalesRevenueAuto!$E$2:$E$40))</f>
        <v>15964.695390425215</v>
      </c>
      <c r="AX12">
        <f ca="1">(PriceStimulation!BC11)*(SUM(InventoryPurchasing!$E$2:$E$112)-SUM(SalesRevenueAuto!$E$2:$E$40))</f>
        <v>17037.411918330614</v>
      </c>
      <c r="AY12">
        <f ca="1">(PriceStimulation!BD11)*(SUM(InventoryPurchasing!$E$2:$E$112)-SUM(SalesRevenueAuto!$E$2:$E$40))</f>
        <v>16275.984015244127</v>
      </c>
      <c r="AZ12">
        <f ca="1">(PriceStimulation!BE11)*(SUM(InventoryPurchasing!$E$2:$E$112)-SUM(SalesRevenueAuto!$E$2:$E$40))</f>
        <v>17631.927213718704</v>
      </c>
      <c r="BA12">
        <f ca="1">(PriceStimulation!BF11)*(SUM(InventoryPurchasing!$E$2:$E$112)-SUM(SalesRevenueAuto!$E$2:$E$40))</f>
        <v>15515.005770602853</v>
      </c>
      <c r="BB12">
        <f ca="1">(PriceStimulation!BG11)*(SUM(InventoryPurchasing!$E$2:$E$112)-SUM(SalesRevenueAuto!$E$2:$E$40))</f>
        <v>17166.216970118912</v>
      </c>
      <c r="BC12">
        <f ca="1">(PriceStimulation!BH11)*(SUM(InventoryPurchasing!$E$2:$E$112)-SUM(SalesRevenueAuto!$E$2:$E$40))</f>
        <v>15683.098381790234</v>
      </c>
      <c r="BD12">
        <f ca="1">(PriceStimulation!BI11)*(SUM(InventoryPurchasing!$E$2:$E$112)-SUM(SalesRevenueAuto!$E$2:$E$40))</f>
        <v>14582.847505697244</v>
      </c>
      <c r="BE12">
        <f ca="1">(PriceStimulation!BJ11)*(SUM(InventoryPurchasing!$E$2:$E$112)-SUM(SalesRevenueAuto!$E$2:$E$40))</f>
        <v>16539.565336717857</v>
      </c>
      <c r="BF12">
        <f ca="1">(PriceStimulation!BK11)*(SUM(InventoryPurchasing!$E$2:$E$112)-SUM(SalesRevenueAuto!$E$2:$E$40))</f>
        <v>18504.450178795672</v>
      </c>
      <c r="BG12">
        <f ca="1">(PriceStimulation!BL11)*(SUM(InventoryPurchasing!$E$2:$E$112)-SUM(SalesRevenueAuto!$E$2:$E$40))</f>
        <v>18077.510092692424</v>
      </c>
      <c r="BH12">
        <f ca="1">(PriceStimulation!BM11)*(SUM(InventoryPurchasing!$E$2:$E$112)-SUM(SalesRevenueAuto!$E$2:$E$40))</f>
        <v>17648.786543142782</v>
      </c>
      <c r="BI12">
        <f ca="1">(PriceStimulation!BN11)*(SUM(InventoryPurchasing!$E$2:$E$112)-SUM(SalesRevenueAuto!$E$2:$E$40))</f>
        <v>17755.592564667215</v>
      </c>
      <c r="BJ12">
        <f ca="1">(PriceStimulation!BO11)*(SUM(InventoryPurchasing!$E$2:$E$112)-SUM(SalesRevenueAuto!$E$2:$E$40))</f>
        <v>15059.234737314331</v>
      </c>
      <c r="BK12">
        <f ca="1">(PriceStimulation!BP11)*(SUM(InventoryPurchasing!$E$2:$E$112)-SUM(SalesRevenueAuto!$E$2:$E$40))</f>
        <v>14301.992199292812</v>
      </c>
      <c r="BL12">
        <f ca="1">(PriceStimulation!BQ11)*(SUM(InventoryPurchasing!$E$2:$E$112)-SUM(SalesRevenueAuto!$E$2:$E$40))</f>
        <v>14048.759352047395</v>
      </c>
      <c r="BM12">
        <f ca="1">(PriceStimulation!BR11)*(SUM(InventoryPurchasing!$E$2:$E$112)-SUM(SalesRevenueAuto!$E$2:$E$40))</f>
        <v>16950.076119857527</v>
      </c>
      <c r="BN12">
        <f ca="1">(PriceStimulation!BS11)*(SUM(InventoryPurchasing!$E$2:$E$112)-SUM(SalesRevenueAuto!$E$2:$E$40))</f>
        <v>18686.702147092034</v>
      </c>
      <c r="BO12">
        <f ca="1">(PriceStimulation!BT11)*(SUM(InventoryPurchasing!$E$2:$E$112)-SUM(SalesRevenueAuto!$E$2:$E$40))</f>
        <v>15824.258373968956</v>
      </c>
      <c r="BP12">
        <f ca="1">(PriceStimulation!BU11)*(SUM(InventoryPurchasing!$E$2:$E$112)-SUM(SalesRevenueAuto!$E$2:$E$40))</f>
        <v>15731.013035272559</v>
      </c>
      <c r="BQ12">
        <f ca="1">(PriceStimulation!BV11)*(SUM(InventoryPurchasing!$E$2:$E$112)-SUM(SalesRevenueAuto!$E$2:$E$40))</f>
        <v>17081.878980528902</v>
      </c>
      <c r="BR12">
        <f ca="1">(PriceStimulation!BW11)*(SUM(InventoryPurchasing!$E$2:$E$112)-SUM(SalesRevenueAuto!$E$2:$E$40))</f>
        <v>17052.980741007541</v>
      </c>
      <c r="BS12">
        <f ca="1">(PriceStimulation!BX11)*(SUM(InventoryPurchasing!$E$2:$E$112)-SUM(SalesRevenueAuto!$E$2:$E$40))</f>
        <v>13402.709841361138</v>
      </c>
      <c r="BT12">
        <f ca="1">(PriceStimulation!BY11)*(SUM(InventoryPurchasing!$E$2:$E$112)-SUM(SalesRevenueAuto!$E$2:$E$40))</f>
        <v>18454.202100362902</v>
      </c>
      <c r="BU12">
        <f ca="1">(PriceStimulation!BZ11)*(SUM(InventoryPurchasing!$E$2:$E$112)-SUM(SalesRevenueAuto!$E$2:$E$40))</f>
        <v>15670.545378927753</v>
      </c>
      <c r="BV12">
        <f ca="1">(PriceStimulation!CA11)*(SUM(InventoryPurchasing!$E$2:$E$112)-SUM(SalesRevenueAuto!$E$2:$E$40))</f>
        <v>18807.185274469535</v>
      </c>
      <c r="BW12">
        <f ca="1">(PriceStimulation!CB11)*(SUM(InventoryPurchasing!$E$2:$E$112)-SUM(SalesRevenueAuto!$E$2:$E$40))</f>
        <v>19474.062150862446</v>
      </c>
      <c r="BX12">
        <f ca="1">(PriceStimulation!CC11)*(SUM(InventoryPurchasing!$E$2:$E$112)-SUM(SalesRevenueAuto!$E$2:$E$40))</f>
        <v>16490.161526263149</v>
      </c>
      <c r="BY12">
        <f ca="1">(PriceStimulation!CD11)*(SUM(InventoryPurchasing!$E$2:$E$112)-SUM(SalesRevenueAuto!$E$2:$E$40))</f>
        <v>14933.70892475752</v>
      </c>
      <c r="BZ12">
        <f ca="1">(PriceStimulation!CE11)*(SUM(InventoryPurchasing!$E$2:$E$112)-SUM(SalesRevenueAuto!$E$2:$E$40))</f>
        <v>16528.596321528181</v>
      </c>
      <c r="CA12">
        <f ca="1">(PriceStimulation!CF11)*(SUM(InventoryPurchasing!$E$2:$E$112)-SUM(SalesRevenueAuto!$E$2:$E$40))</f>
        <v>15778.205349040309</v>
      </c>
      <c r="CB12">
        <f ca="1">(PriceStimulation!CG11)*(SUM(InventoryPurchasing!$E$2:$E$112)-SUM(SalesRevenueAuto!$E$2:$E$40))</f>
        <v>17918.622279704457</v>
      </c>
      <c r="CC12">
        <f ca="1">(PriceStimulation!CH11)*(SUM(InventoryPurchasing!$E$2:$E$112)-SUM(SalesRevenueAuto!$E$2:$E$40))</f>
        <v>16090.340331847694</v>
      </c>
      <c r="CD12">
        <f ca="1">(PriceStimulation!CI11)*(SUM(InventoryPurchasing!$E$2:$E$112)-SUM(SalesRevenueAuto!$E$2:$E$40))</f>
        <v>16741.010666670518</v>
      </c>
      <c r="CE12">
        <f ca="1">(PriceStimulation!CJ11)*(SUM(InventoryPurchasing!$E$2:$E$112)-SUM(SalesRevenueAuto!$E$2:$E$40))</f>
        <v>16108.896336577209</v>
      </c>
      <c r="CF12">
        <f ca="1">(PriceStimulation!CK11)*(SUM(InventoryPurchasing!$E$2:$E$112)-SUM(SalesRevenueAuto!$E$2:$E$40))</f>
        <v>16194.165218110307</v>
      </c>
      <c r="CG12">
        <f ca="1">(PriceStimulation!CL11)*(SUM(InventoryPurchasing!$E$2:$E$112)-SUM(SalesRevenueAuto!$E$2:$E$40))</f>
        <v>15629.155001420491</v>
      </c>
      <c r="CH12">
        <f ca="1">(PriceStimulation!CM11)*(SUM(InventoryPurchasing!$E$2:$E$112)-SUM(SalesRevenueAuto!$E$2:$E$40))</f>
        <v>16636.64328520124</v>
      </c>
      <c r="CI12">
        <f ca="1">(PriceStimulation!CN11)*(SUM(InventoryPurchasing!$E$2:$E$112)-SUM(SalesRevenueAuto!$E$2:$E$40))</f>
        <v>17553.171535991525</v>
      </c>
      <c r="CJ12">
        <f ca="1">(PriceStimulation!CO11)*(SUM(InventoryPurchasing!$E$2:$E$112)-SUM(SalesRevenueAuto!$E$2:$E$40))</f>
        <v>15872.520572520187</v>
      </c>
      <c r="CK12">
        <f ca="1">(PriceStimulation!CP11)*(SUM(InventoryPurchasing!$E$2:$E$112)-SUM(SalesRevenueAuto!$E$2:$E$40))</f>
        <v>14430.802768428697</v>
      </c>
      <c r="CL12">
        <f ca="1">(PriceStimulation!CQ11)*(SUM(InventoryPurchasing!$E$2:$E$112)-SUM(SalesRevenueAuto!$E$2:$E$40))</f>
        <v>16637.635805177808</v>
      </c>
      <c r="CM12">
        <f ca="1">(PriceStimulation!CR11)*(SUM(InventoryPurchasing!$E$2:$E$112)-SUM(SalesRevenueAuto!$E$2:$E$40))</f>
        <v>14303.94204231404</v>
      </c>
      <c r="CN12">
        <f ca="1">(PriceStimulation!CS11)*(SUM(InventoryPurchasing!$E$2:$E$112)-SUM(SalesRevenueAuto!$E$2:$E$40))</f>
        <v>14644.804769081067</v>
      </c>
      <c r="CO12">
        <f ca="1">(PriceStimulation!CT11)*(SUM(InventoryPurchasing!$E$2:$E$112)-SUM(SalesRevenueAuto!$E$2:$E$40))</f>
        <v>18222.643967519376</v>
      </c>
      <c r="CP12">
        <f ca="1">(PriceStimulation!CU11)*(SUM(InventoryPurchasing!$E$2:$E$112)-SUM(SalesRevenueAuto!$E$2:$E$40))</f>
        <v>19321.918464286653</v>
      </c>
      <c r="CQ12">
        <f ca="1">(PriceStimulation!CV11)*(SUM(InventoryPurchasing!$E$2:$E$112)-SUM(SalesRevenueAuto!$E$2:$E$40))</f>
        <v>17694.467465559857</v>
      </c>
      <c r="CR12">
        <f ca="1">(PriceStimulation!CW11)*(SUM(InventoryPurchasing!$E$2:$E$112)-SUM(SalesRevenueAuto!$E$2:$E$40))</f>
        <v>17282.698457062594</v>
      </c>
      <c r="CS12">
        <f ca="1">(PriceStimulation!CX11)*(SUM(InventoryPurchasing!$E$2:$E$112)-SUM(SalesRevenueAuto!$E$2:$E$40))</f>
        <v>18704.113673825181</v>
      </c>
      <c r="CT12">
        <f ca="1">(PriceStimulation!CY11)*(SUM(InventoryPurchasing!$E$2:$E$112)-SUM(SalesRevenueAuto!$E$2:$E$40))</f>
        <v>13979.535023684053</v>
      </c>
      <c r="CU12">
        <f ca="1">(PriceStimulation!CZ11)*(SUM(InventoryPurchasing!$E$2:$E$112)-SUM(SalesRevenueAuto!$E$2:$E$40))</f>
        <v>15854.006366180653</v>
      </c>
      <c r="CV12">
        <f ca="1">(PriceStimulation!DA11)*(SUM(InventoryPurchasing!$E$2:$E$112)-SUM(SalesRevenueAuto!$E$2:$E$40))</f>
        <v>17246.845717933244</v>
      </c>
      <c r="CW12">
        <f ca="1">(PriceStimulation!DB11)*(SUM(InventoryPurchasing!$E$2:$E$112)-SUM(SalesRevenueAuto!$E$2:$E$40))</f>
        <v>20514.65847225102</v>
      </c>
      <c r="CX12">
        <f t="shared" ca="1" si="0"/>
        <v>16723.423752147319</v>
      </c>
      <c r="CY12">
        <f t="shared" ca="1" si="1"/>
        <v>14424.459732122965</v>
      </c>
      <c r="CZ12">
        <f t="shared" ca="1" si="2"/>
        <v>19329.359983436887</v>
      </c>
      <c r="DA12">
        <f t="shared" ca="1" si="3"/>
        <v>2298.9640200243539</v>
      </c>
      <c r="DB12" s="3">
        <f t="shared" ca="1" si="4"/>
        <v>0.1374696984359535</v>
      </c>
    </row>
    <row r="13" spans="1:106" x14ac:dyDescent="0.2">
      <c r="A13">
        <v>10</v>
      </c>
      <c r="B13">
        <f ca="1">(PriceStimulation!G12)*(SUM(InventoryPurchasing!$E$2:$E$112)-SUM(SalesRevenueAuto!$E$2:$E$40))</f>
        <v>18164.633405428071</v>
      </c>
      <c r="C13">
        <f ca="1">(PriceStimulation!H12)*(SUM(InventoryPurchasing!$E$2:$E$112)-SUM(SalesRevenueAuto!$E$2:$E$40))</f>
        <v>17391.311642599165</v>
      </c>
      <c r="D13">
        <f ca="1">(PriceStimulation!I12)*(SUM(InventoryPurchasing!$E$2:$E$112)-SUM(SalesRevenueAuto!$E$2:$E$40))</f>
        <v>16259.713526849002</v>
      </c>
      <c r="E13">
        <f ca="1">(PriceStimulation!J12)*(SUM(InventoryPurchasing!$E$2:$E$112)-SUM(SalesRevenueAuto!$E$2:$E$40))</f>
        <v>18449.350052859798</v>
      </c>
      <c r="F13">
        <f ca="1">(PriceStimulation!K12)*(SUM(InventoryPurchasing!$E$2:$E$112)-SUM(SalesRevenueAuto!$E$2:$E$40))</f>
        <v>16368.532248758665</v>
      </c>
      <c r="G13">
        <f ca="1">(PriceStimulation!L12)*(SUM(InventoryPurchasing!$E$2:$E$112)-SUM(SalesRevenueAuto!$E$2:$E$40))</f>
        <v>18145.618946896269</v>
      </c>
      <c r="H13">
        <f ca="1">(PriceStimulation!M12)*(SUM(InventoryPurchasing!$E$2:$E$112)-SUM(SalesRevenueAuto!$E$2:$E$40))</f>
        <v>16301.994123961573</v>
      </c>
      <c r="I13">
        <f ca="1">(PriceStimulation!N12)*(SUM(InventoryPurchasing!$E$2:$E$112)-SUM(SalesRevenueAuto!$E$2:$E$40))</f>
        <v>18049.264136686383</v>
      </c>
      <c r="J13">
        <f ca="1">(PriceStimulation!O12)*(SUM(InventoryPurchasing!$E$2:$E$112)-SUM(SalesRevenueAuto!$E$2:$E$40))</f>
        <v>17427.983598039777</v>
      </c>
      <c r="K13">
        <f ca="1">(PriceStimulation!P12)*(SUM(InventoryPurchasing!$E$2:$E$112)-SUM(SalesRevenueAuto!$E$2:$E$40))</f>
        <v>17537.179410200675</v>
      </c>
      <c r="L13">
        <f ca="1">(PriceStimulation!Q12)*(SUM(InventoryPurchasing!$E$2:$E$112)-SUM(SalesRevenueAuto!$E$2:$E$40))</f>
        <v>16772.276670993477</v>
      </c>
      <c r="M13">
        <f ca="1">(PriceStimulation!R12)*(SUM(InventoryPurchasing!$E$2:$E$112)-SUM(SalesRevenueAuto!$E$2:$E$40))</f>
        <v>18446.129479162297</v>
      </c>
      <c r="N13">
        <f ca="1">(PriceStimulation!S12)*(SUM(InventoryPurchasing!$E$2:$E$112)-SUM(SalesRevenueAuto!$E$2:$E$40))</f>
        <v>15723.767704050188</v>
      </c>
      <c r="O13">
        <f ca="1">(PriceStimulation!T12)*(SUM(InventoryPurchasing!$E$2:$E$112)-SUM(SalesRevenueAuto!$E$2:$E$40))</f>
        <v>16705.213753906275</v>
      </c>
      <c r="P13">
        <f ca="1">(PriceStimulation!U12)*(SUM(InventoryPurchasing!$E$2:$E$112)-SUM(SalesRevenueAuto!$E$2:$E$40))</f>
        <v>16710.127084666954</v>
      </c>
      <c r="Q13">
        <f ca="1">(PriceStimulation!V12)*(SUM(InventoryPurchasing!$E$2:$E$112)-SUM(SalesRevenueAuto!$E$2:$E$40))</f>
        <v>15847.43776420969</v>
      </c>
      <c r="R13">
        <f ca="1">(PriceStimulation!W12)*(SUM(InventoryPurchasing!$E$2:$E$112)-SUM(SalesRevenueAuto!$E$2:$E$40))</f>
        <v>18242.649677935937</v>
      </c>
      <c r="S13">
        <f ca="1">(PriceStimulation!X12)*(SUM(InventoryPurchasing!$E$2:$E$112)-SUM(SalesRevenueAuto!$E$2:$E$40))</f>
        <v>17458.883884506711</v>
      </c>
      <c r="T13">
        <f ca="1">(PriceStimulation!Y12)*(SUM(InventoryPurchasing!$E$2:$E$112)-SUM(SalesRevenueAuto!$E$2:$E$40))</f>
        <v>14908.279662922925</v>
      </c>
      <c r="U13">
        <f ca="1">(PriceStimulation!Z12)*(SUM(InventoryPurchasing!$E$2:$E$112)-SUM(SalesRevenueAuto!$E$2:$E$40))</f>
        <v>16041.131363950866</v>
      </c>
      <c r="V13">
        <f ca="1">(PriceStimulation!AA12)*(SUM(InventoryPurchasing!$E$2:$E$112)-SUM(SalesRevenueAuto!$E$2:$E$40))</f>
        <v>16114.205714103173</v>
      </c>
      <c r="W13">
        <f ca="1">(PriceStimulation!AB12)*(SUM(InventoryPurchasing!$E$2:$E$112)-SUM(SalesRevenueAuto!$E$2:$E$40))</f>
        <v>17664.587501470229</v>
      </c>
      <c r="X13">
        <f ca="1">(PriceStimulation!AC12)*(SUM(InventoryPurchasing!$E$2:$E$112)-SUM(SalesRevenueAuto!$E$2:$E$40))</f>
        <v>15385.937028972008</v>
      </c>
      <c r="Y13">
        <f ca="1">(PriceStimulation!AD12)*(SUM(InventoryPurchasing!$E$2:$E$112)-SUM(SalesRevenueAuto!$E$2:$E$40))</f>
        <v>18744.969228810787</v>
      </c>
      <c r="Z13">
        <f ca="1">(PriceStimulation!AE12)*(SUM(InventoryPurchasing!$E$2:$E$112)-SUM(SalesRevenueAuto!$E$2:$E$40))</f>
        <v>17095.018650822287</v>
      </c>
      <c r="AA13">
        <f ca="1">(PriceStimulation!AF12)*(SUM(InventoryPurchasing!$E$2:$E$112)-SUM(SalesRevenueAuto!$E$2:$E$40))</f>
        <v>17414.446672173297</v>
      </c>
      <c r="AB13">
        <f ca="1">(PriceStimulation!AG12)*(SUM(InventoryPurchasing!$E$2:$E$112)-SUM(SalesRevenueAuto!$E$2:$E$40))</f>
        <v>16747.508620441229</v>
      </c>
      <c r="AC13">
        <f ca="1">(PriceStimulation!AH12)*(SUM(InventoryPurchasing!$E$2:$E$112)-SUM(SalesRevenueAuto!$E$2:$E$40))</f>
        <v>16360.131011537094</v>
      </c>
      <c r="AD13">
        <f ca="1">(PriceStimulation!AI12)*(SUM(InventoryPurchasing!$E$2:$E$112)-SUM(SalesRevenueAuto!$E$2:$E$40))</f>
        <v>17820.516630671194</v>
      </c>
      <c r="AE13">
        <f ca="1">(PriceStimulation!AJ12)*(SUM(InventoryPurchasing!$E$2:$E$112)-SUM(SalesRevenueAuto!$E$2:$E$40))</f>
        <v>14835.711407963536</v>
      </c>
      <c r="AF13">
        <f ca="1">(PriceStimulation!AK12)*(SUM(InventoryPurchasing!$E$2:$E$112)-SUM(SalesRevenueAuto!$E$2:$E$40))</f>
        <v>18725.832425810058</v>
      </c>
      <c r="AG13">
        <f ca="1">(PriceStimulation!AL12)*(SUM(InventoryPurchasing!$E$2:$E$112)-SUM(SalesRevenueAuto!$E$2:$E$40))</f>
        <v>14672.040284592789</v>
      </c>
      <c r="AH13">
        <f ca="1">(PriceStimulation!AM12)*(SUM(InventoryPurchasing!$E$2:$E$112)-SUM(SalesRevenueAuto!$E$2:$E$40))</f>
        <v>21596.18455795019</v>
      </c>
      <c r="AI13">
        <f ca="1">(PriceStimulation!AN12)*(SUM(InventoryPurchasing!$E$2:$E$112)-SUM(SalesRevenueAuto!$E$2:$E$40))</f>
        <v>19597.807194394256</v>
      </c>
      <c r="AJ13">
        <f ca="1">(PriceStimulation!AO12)*(SUM(InventoryPurchasing!$E$2:$E$112)-SUM(SalesRevenueAuto!$E$2:$E$40))</f>
        <v>17725.876404593411</v>
      </c>
      <c r="AK13">
        <f ca="1">(PriceStimulation!AP12)*(SUM(InventoryPurchasing!$E$2:$E$112)-SUM(SalesRevenueAuto!$E$2:$E$40))</f>
        <v>20451.554408248852</v>
      </c>
      <c r="AL13">
        <f ca="1">(PriceStimulation!AQ12)*(SUM(InventoryPurchasing!$E$2:$E$112)-SUM(SalesRevenueAuto!$E$2:$E$40))</f>
        <v>16847.621807619442</v>
      </c>
      <c r="AM13">
        <f ca="1">(PriceStimulation!AR12)*(SUM(InventoryPurchasing!$E$2:$E$112)-SUM(SalesRevenueAuto!$E$2:$E$40))</f>
        <v>17896.993411932232</v>
      </c>
      <c r="AN13">
        <f ca="1">(PriceStimulation!AS12)*(SUM(InventoryPurchasing!$E$2:$E$112)-SUM(SalesRevenueAuto!$E$2:$E$40))</f>
        <v>15555.639253461806</v>
      </c>
      <c r="AO13">
        <f ca="1">(PriceStimulation!AT12)*(SUM(InventoryPurchasing!$E$2:$E$112)-SUM(SalesRevenueAuto!$E$2:$E$40))</f>
        <v>14977.026143802508</v>
      </c>
      <c r="AP13">
        <f ca="1">(PriceStimulation!AU12)*(SUM(InventoryPurchasing!$E$2:$E$112)-SUM(SalesRevenueAuto!$E$2:$E$40))</f>
        <v>18479.896676330642</v>
      </c>
      <c r="AQ13">
        <f ca="1">(PriceStimulation!AV12)*(SUM(InventoryPurchasing!$E$2:$E$112)-SUM(SalesRevenueAuto!$E$2:$E$40))</f>
        <v>15565.804650797299</v>
      </c>
      <c r="AR13">
        <f ca="1">(PriceStimulation!AW12)*(SUM(InventoryPurchasing!$E$2:$E$112)-SUM(SalesRevenueAuto!$E$2:$E$40))</f>
        <v>16384.453195310336</v>
      </c>
      <c r="AS13">
        <f ca="1">(PriceStimulation!AX12)*(SUM(InventoryPurchasing!$E$2:$E$112)-SUM(SalesRevenueAuto!$E$2:$E$40))</f>
        <v>19389.231197636716</v>
      </c>
      <c r="AT13">
        <f ca="1">(PriceStimulation!AY12)*(SUM(InventoryPurchasing!$E$2:$E$112)-SUM(SalesRevenueAuto!$E$2:$E$40))</f>
        <v>15807.371155548961</v>
      </c>
      <c r="AU13">
        <f ca="1">(PriceStimulation!AZ12)*(SUM(InventoryPurchasing!$E$2:$E$112)-SUM(SalesRevenueAuto!$E$2:$E$40))</f>
        <v>15748.807012556234</v>
      </c>
      <c r="AV13">
        <f ca="1">(PriceStimulation!BA12)*(SUM(InventoryPurchasing!$E$2:$E$112)-SUM(SalesRevenueAuto!$E$2:$E$40))</f>
        <v>17593.465766249246</v>
      </c>
      <c r="AW13">
        <f ca="1">(PriceStimulation!BB12)*(SUM(InventoryPurchasing!$E$2:$E$112)-SUM(SalesRevenueAuto!$E$2:$E$40))</f>
        <v>15757.181295664419</v>
      </c>
      <c r="AX13">
        <f ca="1">(PriceStimulation!BC12)*(SUM(InventoryPurchasing!$E$2:$E$112)-SUM(SalesRevenueAuto!$E$2:$E$40))</f>
        <v>17746.957141876384</v>
      </c>
      <c r="AY13">
        <f ca="1">(PriceStimulation!BD12)*(SUM(InventoryPurchasing!$E$2:$E$112)-SUM(SalesRevenueAuto!$E$2:$E$40))</f>
        <v>16789.732354674343</v>
      </c>
      <c r="AZ13">
        <f ca="1">(PriceStimulation!BE12)*(SUM(InventoryPurchasing!$E$2:$E$112)-SUM(SalesRevenueAuto!$E$2:$E$40))</f>
        <v>17676.614925130994</v>
      </c>
      <c r="BA13">
        <f ca="1">(PriceStimulation!BF12)*(SUM(InventoryPurchasing!$E$2:$E$112)-SUM(SalesRevenueAuto!$E$2:$E$40))</f>
        <v>15110.080594047509</v>
      </c>
      <c r="BB13">
        <f ca="1">(PriceStimulation!BG12)*(SUM(InventoryPurchasing!$E$2:$E$112)-SUM(SalesRevenueAuto!$E$2:$E$40))</f>
        <v>17955.125931033344</v>
      </c>
      <c r="BC13">
        <f ca="1">(PriceStimulation!BH12)*(SUM(InventoryPurchasing!$E$2:$E$112)-SUM(SalesRevenueAuto!$E$2:$E$40))</f>
        <v>16654.586102745292</v>
      </c>
      <c r="BD13">
        <f ca="1">(PriceStimulation!BI12)*(SUM(InventoryPurchasing!$E$2:$E$112)-SUM(SalesRevenueAuto!$E$2:$E$40))</f>
        <v>14737.875024469146</v>
      </c>
      <c r="BE13">
        <f ca="1">(PriceStimulation!BJ12)*(SUM(InventoryPurchasing!$E$2:$E$112)-SUM(SalesRevenueAuto!$E$2:$E$40))</f>
        <v>16672.358023380246</v>
      </c>
      <c r="BF13">
        <f ca="1">(PriceStimulation!BK12)*(SUM(InventoryPurchasing!$E$2:$E$112)-SUM(SalesRevenueAuto!$E$2:$E$40))</f>
        <v>18927.317270156109</v>
      </c>
      <c r="BG13">
        <f ca="1">(PriceStimulation!BL12)*(SUM(InventoryPurchasing!$E$2:$E$112)-SUM(SalesRevenueAuto!$E$2:$E$40))</f>
        <v>18176.990124671258</v>
      </c>
      <c r="BH13">
        <f ca="1">(PriceStimulation!BM12)*(SUM(InventoryPurchasing!$E$2:$E$112)-SUM(SalesRevenueAuto!$E$2:$E$40))</f>
        <v>18171.65702419154</v>
      </c>
      <c r="BI13">
        <f ca="1">(PriceStimulation!BN12)*(SUM(InventoryPurchasing!$E$2:$E$112)-SUM(SalesRevenueAuto!$E$2:$E$40))</f>
        <v>18451.739197764357</v>
      </c>
      <c r="BJ13">
        <f ca="1">(PriceStimulation!BO12)*(SUM(InventoryPurchasing!$E$2:$E$112)-SUM(SalesRevenueAuto!$E$2:$E$40))</f>
        <v>15757.139447956832</v>
      </c>
      <c r="BK13">
        <f ca="1">(PriceStimulation!BP12)*(SUM(InventoryPurchasing!$E$2:$E$112)-SUM(SalesRevenueAuto!$E$2:$E$40))</f>
        <v>15626.685911950515</v>
      </c>
      <c r="BL13">
        <f ca="1">(PriceStimulation!BQ12)*(SUM(InventoryPurchasing!$E$2:$E$112)-SUM(SalesRevenueAuto!$E$2:$E$40))</f>
        <v>14721.106459901339</v>
      </c>
      <c r="BM13">
        <f ca="1">(PriceStimulation!BR12)*(SUM(InventoryPurchasing!$E$2:$E$112)-SUM(SalesRevenueAuto!$E$2:$E$40))</f>
        <v>17218.564776487307</v>
      </c>
      <c r="BN13">
        <f ca="1">(PriceStimulation!BS12)*(SUM(InventoryPurchasing!$E$2:$E$112)-SUM(SalesRevenueAuto!$E$2:$E$40))</f>
        <v>19205.870253419136</v>
      </c>
      <c r="BO13">
        <f ca="1">(PriceStimulation!BT12)*(SUM(InventoryPurchasing!$E$2:$E$112)-SUM(SalesRevenueAuto!$E$2:$E$40))</f>
        <v>15991.916604512138</v>
      </c>
      <c r="BP13">
        <f ca="1">(PriceStimulation!BU12)*(SUM(InventoryPurchasing!$E$2:$E$112)-SUM(SalesRevenueAuto!$E$2:$E$40))</f>
        <v>16423.559121761016</v>
      </c>
      <c r="BQ13">
        <f ca="1">(PriceStimulation!BV12)*(SUM(InventoryPurchasing!$E$2:$E$112)-SUM(SalesRevenueAuto!$E$2:$E$40))</f>
        <v>17366.860773300737</v>
      </c>
      <c r="BR13">
        <f ca="1">(PriceStimulation!BW12)*(SUM(InventoryPurchasing!$E$2:$E$112)-SUM(SalesRevenueAuto!$E$2:$E$40))</f>
        <v>17557.260151184149</v>
      </c>
      <c r="BS13">
        <f ca="1">(PriceStimulation!BX12)*(SUM(InventoryPurchasing!$E$2:$E$112)-SUM(SalesRevenueAuto!$E$2:$E$40))</f>
        <v>13075.592835163146</v>
      </c>
      <c r="BT13">
        <f ca="1">(PriceStimulation!BY12)*(SUM(InventoryPurchasing!$E$2:$E$112)-SUM(SalesRevenueAuto!$E$2:$E$40))</f>
        <v>17814.16762883899</v>
      </c>
      <c r="BU13">
        <f ca="1">(PriceStimulation!BZ12)*(SUM(InventoryPurchasing!$E$2:$E$112)-SUM(SalesRevenueAuto!$E$2:$E$40))</f>
        <v>16051.172149296095</v>
      </c>
      <c r="BV13">
        <f ca="1">(PriceStimulation!CA12)*(SUM(InventoryPurchasing!$E$2:$E$112)-SUM(SalesRevenueAuto!$E$2:$E$40))</f>
        <v>19191.670380827414</v>
      </c>
      <c r="BW13">
        <f ca="1">(PriceStimulation!CB12)*(SUM(InventoryPurchasing!$E$2:$E$112)-SUM(SalesRevenueAuto!$E$2:$E$40))</f>
        <v>20211.482937884055</v>
      </c>
      <c r="BX13">
        <f ca="1">(PriceStimulation!CC12)*(SUM(InventoryPurchasing!$E$2:$E$112)-SUM(SalesRevenueAuto!$E$2:$E$40))</f>
        <v>16563.600569058493</v>
      </c>
      <c r="BY13">
        <f ca="1">(PriceStimulation!CD12)*(SUM(InventoryPurchasing!$E$2:$E$112)-SUM(SalesRevenueAuto!$E$2:$E$40))</f>
        <v>14954.656722904565</v>
      </c>
      <c r="BZ13">
        <f ca="1">(PriceStimulation!CE12)*(SUM(InventoryPurchasing!$E$2:$E$112)-SUM(SalesRevenueAuto!$E$2:$E$40))</f>
        <v>16155.094628665733</v>
      </c>
      <c r="CA13">
        <f ca="1">(PriceStimulation!CF12)*(SUM(InventoryPurchasing!$E$2:$E$112)-SUM(SalesRevenueAuto!$E$2:$E$40))</f>
        <v>16185.79639555665</v>
      </c>
      <c r="CB13">
        <f ca="1">(PriceStimulation!CG12)*(SUM(InventoryPurchasing!$E$2:$E$112)-SUM(SalesRevenueAuto!$E$2:$E$40))</f>
        <v>19185.68647527244</v>
      </c>
      <c r="CC13">
        <f ca="1">(PriceStimulation!CH12)*(SUM(InventoryPurchasing!$E$2:$E$112)-SUM(SalesRevenueAuto!$E$2:$E$40))</f>
        <v>16991.912407043947</v>
      </c>
      <c r="CD13">
        <f ca="1">(PriceStimulation!CI12)*(SUM(InventoryPurchasing!$E$2:$E$112)-SUM(SalesRevenueAuto!$E$2:$E$40))</f>
        <v>16559.859711947964</v>
      </c>
      <c r="CE13">
        <f ca="1">(PriceStimulation!CJ12)*(SUM(InventoryPurchasing!$E$2:$E$112)-SUM(SalesRevenueAuto!$E$2:$E$40))</f>
        <v>15997.808657308913</v>
      </c>
      <c r="CF13">
        <f ca="1">(PriceStimulation!CK12)*(SUM(InventoryPurchasing!$E$2:$E$112)-SUM(SalesRevenueAuto!$E$2:$E$40))</f>
        <v>15914.600873269897</v>
      </c>
      <c r="CG13">
        <f ca="1">(PriceStimulation!CL12)*(SUM(InventoryPurchasing!$E$2:$E$112)-SUM(SalesRevenueAuto!$E$2:$E$40))</f>
        <v>15594.043353593752</v>
      </c>
      <c r="CH13">
        <f ca="1">(PriceStimulation!CM12)*(SUM(InventoryPurchasing!$E$2:$E$112)-SUM(SalesRevenueAuto!$E$2:$E$40))</f>
        <v>17426.182474336605</v>
      </c>
      <c r="CI13">
        <f ca="1">(PriceStimulation!CN12)*(SUM(InventoryPurchasing!$E$2:$E$112)-SUM(SalesRevenueAuto!$E$2:$E$40))</f>
        <v>17592.720862942293</v>
      </c>
      <c r="CJ13">
        <f ca="1">(PriceStimulation!CO12)*(SUM(InventoryPurchasing!$E$2:$E$112)-SUM(SalesRevenueAuto!$E$2:$E$40))</f>
        <v>16572.791977247503</v>
      </c>
      <c r="CK13">
        <f ca="1">(PriceStimulation!CP12)*(SUM(InventoryPurchasing!$E$2:$E$112)-SUM(SalesRevenueAuto!$E$2:$E$40))</f>
        <v>14057.534275401646</v>
      </c>
      <c r="CL13">
        <f ca="1">(PriceStimulation!CQ12)*(SUM(InventoryPurchasing!$E$2:$E$112)-SUM(SalesRevenueAuto!$E$2:$E$40))</f>
        <v>16820.421934297345</v>
      </c>
      <c r="CM13">
        <f ca="1">(PriceStimulation!CR12)*(SUM(InventoryPurchasing!$E$2:$E$112)-SUM(SalesRevenueAuto!$E$2:$E$40))</f>
        <v>14909.057841731499</v>
      </c>
      <c r="CN13">
        <f ca="1">(PriceStimulation!CS12)*(SUM(InventoryPurchasing!$E$2:$E$112)-SUM(SalesRevenueAuto!$E$2:$E$40))</f>
        <v>14477.85662276435</v>
      </c>
      <c r="CO13">
        <f ca="1">(PriceStimulation!CT12)*(SUM(InventoryPurchasing!$E$2:$E$112)-SUM(SalesRevenueAuto!$E$2:$E$40))</f>
        <v>18910.966965079348</v>
      </c>
      <c r="CP13">
        <f ca="1">(PriceStimulation!CU12)*(SUM(InventoryPurchasing!$E$2:$E$112)-SUM(SalesRevenueAuto!$E$2:$E$40))</f>
        <v>19287.171730849765</v>
      </c>
      <c r="CQ13">
        <f ca="1">(PriceStimulation!CV12)*(SUM(InventoryPurchasing!$E$2:$E$112)-SUM(SalesRevenueAuto!$E$2:$E$40))</f>
        <v>18260.982182943742</v>
      </c>
      <c r="CR13">
        <f ca="1">(PriceStimulation!CW12)*(SUM(InventoryPurchasing!$E$2:$E$112)-SUM(SalesRevenueAuto!$E$2:$E$40))</f>
        <v>17740.948273072936</v>
      </c>
      <c r="CS13">
        <f ca="1">(PriceStimulation!CX12)*(SUM(InventoryPurchasing!$E$2:$E$112)-SUM(SalesRevenueAuto!$E$2:$E$40))</f>
        <v>19297.934703963485</v>
      </c>
      <c r="CT13">
        <f ca="1">(PriceStimulation!CY12)*(SUM(InventoryPurchasing!$E$2:$E$112)-SUM(SalesRevenueAuto!$E$2:$E$40))</f>
        <v>14152.301239980059</v>
      </c>
      <c r="CU13">
        <f ca="1">(PriceStimulation!CZ12)*(SUM(InventoryPurchasing!$E$2:$E$112)-SUM(SalesRevenueAuto!$E$2:$E$40))</f>
        <v>17196.040627563911</v>
      </c>
      <c r="CV13">
        <f ca="1">(PriceStimulation!DA12)*(SUM(InventoryPurchasing!$E$2:$E$112)-SUM(SalesRevenueAuto!$E$2:$E$40))</f>
        <v>16913.928573280758</v>
      </c>
      <c r="CW13">
        <f ca="1">(PriceStimulation!DB12)*(SUM(InventoryPurchasing!$E$2:$E$112)-SUM(SalesRevenueAuto!$E$2:$E$40))</f>
        <v>21526.739525232035</v>
      </c>
      <c r="CX13">
        <f t="shared" ca="1" si="0"/>
        <v>17044.380201999818</v>
      </c>
      <c r="CY13">
        <f t="shared" ca="1" si="1"/>
        <v>14718.653151135912</v>
      </c>
      <c r="CZ13">
        <f t="shared" ca="1" si="2"/>
        <v>19410.08879731247</v>
      </c>
      <c r="DA13">
        <f t="shared" ca="1" si="3"/>
        <v>2325.7270508639067</v>
      </c>
      <c r="DB13" s="3">
        <f t="shared" ca="1" si="4"/>
        <v>0.13645125392069282</v>
      </c>
    </row>
    <row r="14" spans="1:106" x14ac:dyDescent="0.2">
      <c r="A14">
        <v>11</v>
      </c>
      <c r="B14">
        <f ca="1">(PriceStimulation!G13)*(SUM(InventoryPurchasing!$E$2:$E$112)-SUM(SalesRevenueAuto!$E$2:$E$40))</f>
        <v>18621.566836351838</v>
      </c>
      <c r="C14">
        <f ca="1">(PriceStimulation!H13)*(SUM(InventoryPurchasing!$E$2:$E$112)-SUM(SalesRevenueAuto!$E$2:$E$40))</f>
        <v>17540.610878044205</v>
      </c>
      <c r="D14">
        <f ca="1">(PriceStimulation!I13)*(SUM(InventoryPurchasing!$E$2:$E$112)-SUM(SalesRevenueAuto!$E$2:$E$40))</f>
        <v>16656.549630718007</v>
      </c>
      <c r="E14">
        <f ca="1">(PriceStimulation!J13)*(SUM(InventoryPurchasing!$E$2:$E$112)-SUM(SalesRevenueAuto!$E$2:$E$40))</f>
        <v>18768.120554976987</v>
      </c>
      <c r="F14">
        <f ca="1">(PriceStimulation!K13)*(SUM(InventoryPurchasing!$E$2:$E$112)-SUM(SalesRevenueAuto!$E$2:$E$40))</f>
        <v>16154.007843056293</v>
      </c>
      <c r="G14">
        <f ca="1">(PriceStimulation!L13)*(SUM(InventoryPurchasing!$E$2:$E$112)-SUM(SalesRevenueAuto!$E$2:$E$40))</f>
        <v>18605.234702445236</v>
      </c>
      <c r="H14">
        <f ca="1">(PriceStimulation!M13)*(SUM(InventoryPurchasing!$E$2:$E$112)-SUM(SalesRevenueAuto!$E$2:$E$40))</f>
        <v>16437.240475453655</v>
      </c>
      <c r="I14">
        <f ca="1">(PriceStimulation!N13)*(SUM(InventoryPurchasing!$E$2:$E$112)-SUM(SalesRevenueAuto!$E$2:$E$40))</f>
        <v>18047.67187513036</v>
      </c>
      <c r="J14">
        <f ca="1">(PriceStimulation!O13)*(SUM(InventoryPurchasing!$E$2:$E$112)-SUM(SalesRevenueAuto!$E$2:$E$40))</f>
        <v>18132.022662524836</v>
      </c>
      <c r="K14">
        <f ca="1">(PriceStimulation!P13)*(SUM(InventoryPurchasing!$E$2:$E$112)-SUM(SalesRevenueAuto!$E$2:$E$40))</f>
        <v>17359.924091282614</v>
      </c>
      <c r="L14">
        <f ca="1">(PriceStimulation!Q13)*(SUM(InventoryPurchasing!$E$2:$E$112)-SUM(SalesRevenueAuto!$E$2:$E$40))</f>
        <v>17106.957294708362</v>
      </c>
      <c r="M14">
        <f ca="1">(PriceStimulation!R13)*(SUM(InventoryPurchasing!$E$2:$E$112)-SUM(SalesRevenueAuto!$E$2:$E$40))</f>
        <v>18777.29757485188</v>
      </c>
      <c r="N14">
        <f ca="1">(PriceStimulation!S13)*(SUM(InventoryPurchasing!$E$2:$E$112)-SUM(SalesRevenueAuto!$E$2:$E$40))</f>
        <v>16553.648537109533</v>
      </c>
      <c r="O14">
        <f ca="1">(PriceStimulation!T13)*(SUM(InventoryPurchasing!$E$2:$E$112)-SUM(SalesRevenueAuto!$E$2:$E$40))</f>
        <v>17179.143491046576</v>
      </c>
      <c r="P14">
        <f ca="1">(PriceStimulation!U13)*(SUM(InventoryPurchasing!$E$2:$E$112)-SUM(SalesRevenueAuto!$E$2:$E$40))</f>
        <v>16568.575245486423</v>
      </c>
      <c r="Q14">
        <f ca="1">(PriceStimulation!V13)*(SUM(InventoryPurchasing!$E$2:$E$112)-SUM(SalesRevenueAuto!$E$2:$E$40))</f>
        <v>15549.085747003161</v>
      </c>
      <c r="R14">
        <f ca="1">(PriceStimulation!W13)*(SUM(InventoryPurchasing!$E$2:$E$112)-SUM(SalesRevenueAuto!$E$2:$E$40))</f>
        <v>17933.12161108321</v>
      </c>
      <c r="S14">
        <f ca="1">(PriceStimulation!X13)*(SUM(InventoryPurchasing!$E$2:$E$112)-SUM(SalesRevenueAuto!$E$2:$E$40))</f>
        <v>17919.024144187693</v>
      </c>
      <c r="T14">
        <f ca="1">(PriceStimulation!Y13)*(SUM(InventoryPurchasing!$E$2:$E$112)-SUM(SalesRevenueAuto!$E$2:$E$40))</f>
        <v>15351.644934482119</v>
      </c>
      <c r="U14">
        <f ca="1">(PriceStimulation!Z13)*(SUM(InventoryPurchasing!$E$2:$E$112)-SUM(SalesRevenueAuto!$E$2:$E$40))</f>
        <v>16570.994297053308</v>
      </c>
      <c r="V14">
        <f ca="1">(PriceStimulation!AA13)*(SUM(InventoryPurchasing!$E$2:$E$112)-SUM(SalesRevenueAuto!$E$2:$E$40))</f>
        <v>16656.39600932374</v>
      </c>
      <c r="W14">
        <f ca="1">(PriceStimulation!AB13)*(SUM(InventoryPurchasing!$E$2:$E$112)-SUM(SalesRevenueAuto!$E$2:$E$40))</f>
        <v>18334.953622272726</v>
      </c>
      <c r="X14">
        <f ca="1">(PriceStimulation!AC13)*(SUM(InventoryPurchasing!$E$2:$E$112)-SUM(SalesRevenueAuto!$E$2:$E$40))</f>
        <v>15183.660610722358</v>
      </c>
      <c r="Y14">
        <f ca="1">(PriceStimulation!AD13)*(SUM(InventoryPurchasing!$E$2:$E$112)-SUM(SalesRevenueAuto!$E$2:$E$40))</f>
        <v>19931.970553460073</v>
      </c>
      <c r="Z14">
        <f ca="1">(PriceStimulation!AE13)*(SUM(InventoryPurchasing!$E$2:$E$112)-SUM(SalesRevenueAuto!$E$2:$E$40))</f>
        <v>16479.339267061074</v>
      </c>
      <c r="AA14">
        <f ca="1">(PriceStimulation!AF13)*(SUM(InventoryPurchasing!$E$2:$E$112)-SUM(SalesRevenueAuto!$E$2:$E$40))</f>
        <v>17878.225186381489</v>
      </c>
      <c r="AB14">
        <f ca="1">(PriceStimulation!AG13)*(SUM(InventoryPurchasing!$E$2:$E$112)-SUM(SalesRevenueAuto!$E$2:$E$40))</f>
        <v>16756.286405114875</v>
      </c>
      <c r="AC14">
        <f ca="1">(PriceStimulation!AH13)*(SUM(InventoryPurchasing!$E$2:$E$112)-SUM(SalesRevenueAuto!$E$2:$E$40))</f>
        <v>15660.445802443934</v>
      </c>
      <c r="AD14">
        <f ca="1">(PriceStimulation!AI13)*(SUM(InventoryPurchasing!$E$2:$E$112)-SUM(SalesRevenueAuto!$E$2:$E$40))</f>
        <v>19042.925739843751</v>
      </c>
      <c r="AE14">
        <f ca="1">(PriceStimulation!AJ13)*(SUM(InventoryPurchasing!$E$2:$E$112)-SUM(SalesRevenueAuto!$E$2:$E$40))</f>
        <v>15380.804748485923</v>
      </c>
      <c r="AF14">
        <f ca="1">(PriceStimulation!AK13)*(SUM(InventoryPurchasing!$E$2:$E$112)-SUM(SalesRevenueAuto!$E$2:$E$40))</f>
        <v>18280.493438370679</v>
      </c>
      <c r="AG14">
        <f ca="1">(PriceStimulation!AL13)*(SUM(InventoryPurchasing!$E$2:$E$112)-SUM(SalesRevenueAuto!$E$2:$E$40))</f>
        <v>15087.183479882988</v>
      </c>
      <c r="AH14">
        <f ca="1">(PriceStimulation!AM13)*(SUM(InventoryPurchasing!$E$2:$E$112)-SUM(SalesRevenueAuto!$E$2:$E$40))</f>
        <v>21362.467785696648</v>
      </c>
      <c r="AI14">
        <f ca="1">(PriceStimulation!AN13)*(SUM(InventoryPurchasing!$E$2:$E$112)-SUM(SalesRevenueAuto!$E$2:$E$40))</f>
        <v>18385.728647908407</v>
      </c>
      <c r="AJ14">
        <f ca="1">(PriceStimulation!AO13)*(SUM(InventoryPurchasing!$E$2:$E$112)-SUM(SalesRevenueAuto!$E$2:$E$40))</f>
        <v>17785.367446454493</v>
      </c>
      <c r="AK14">
        <f ca="1">(PriceStimulation!AP13)*(SUM(InventoryPurchasing!$E$2:$E$112)-SUM(SalesRevenueAuto!$E$2:$E$40))</f>
        <v>21403.663468719715</v>
      </c>
      <c r="AL14">
        <f ca="1">(PriceStimulation!AQ13)*(SUM(InventoryPurchasing!$E$2:$E$112)-SUM(SalesRevenueAuto!$E$2:$E$40))</f>
        <v>16023.43854488977</v>
      </c>
      <c r="AM14">
        <f ca="1">(PriceStimulation!AR13)*(SUM(InventoryPurchasing!$E$2:$E$112)-SUM(SalesRevenueAuto!$E$2:$E$40))</f>
        <v>18762.695284575784</v>
      </c>
      <c r="AN14">
        <f ca="1">(PriceStimulation!AS13)*(SUM(InventoryPurchasing!$E$2:$E$112)-SUM(SalesRevenueAuto!$E$2:$E$40))</f>
        <v>15310.692979074558</v>
      </c>
      <c r="AO14">
        <f ca="1">(PriceStimulation!AT13)*(SUM(InventoryPurchasing!$E$2:$E$112)-SUM(SalesRevenueAuto!$E$2:$E$40))</f>
        <v>14979.592943967233</v>
      </c>
      <c r="AP14">
        <f ca="1">(PriceStimulation!AU13)*(SUM(InventoryPurchasing!$E$2:$E$112)-SUM(SalesRevenueAuto!$E$2:$E$40))</f>
        <v>18893.11837340003</v>
      </c>
      <c r="AQ14">
        <f ca="1">(PriceStimulation!AV13)*(SUM(InventoryPurchasing!$E$2:$E$112)-SUM(SalesRevenueAuto!$E$2:$E$40))</f>
        <v>15177.783210647265</v>
      </c>
      <c r="AR14">
        <f ca="1">(PriceStimulation!AW13)*(SUM(InventoryPurchasing!$E$2:$E$112)-SUM(SalesRevenueAuto!$E$2:$E$40))</f>
        <v>16633.476670681659</v>
      </c>
      <c r="AS14">
        <f ca="1">(PriceStimulation!AX13)*(SUM(InventoryPurchasing!$E$2:$E$112)-SUM(SalesRevenueAuto!$E$2:$E$40))</f>
        <v>18888.624706480572</v>
      </c>
      <c r="AT14">
        <f ca="1">(PriceStimulation!AY13)*(SUM(InventoryPurchasing!$E$2:$E$112)-SUM(SalesRevenueAuto!$E$2:$E$40))</f>
        <v>16064.796803477289</v>
      </c>
      <c r="AU14">
        <f ca="1">(PriceStimulation!AZ13)*(SUM(InventoryPurchasing!$E$2:$E$112)-SUM(SalesRevenueAuto!$E$2:$E$40))</f>
        <v>16006.49994769128</v>
      </c>
      <c r="AV14">
        <f ca="1">(PriceStimulation!BA13)*(SUM(InventoryPurchasing!$E$2:$E$112)-SUM(SalesRevenueAuto!$E$2:$E$40))</f>
        <v>17800.090171707114</v>
      </c>
      <c r="AW14">
        <f ca="1">(PriceStimulation!BB13)*(SUM(InventoryPurchasing!$E$2:$E$112)-SUM(SalesRevenueAuto!$E$2:$E$40))</f>
        <v>16196.578123736159</v>
      </c>
      <c r="AX14">
        <f ca="1">(PriceStimulation!BC13)*(SUM(InventoryPurchasing!$E$2:$E$112)-SUM(SalesRevenueAuto!$E$2:$E$40))</f>
        <v>18247.899887468553</v>
      </c>
      <c r="AY14">
        <f ca="1">(PriceStimulation!BD13)*(SUM(InventoryPurchasing!$E$2:$E$112)-SUM(SalesRevenueAuto!$E$2:$E$40))</f>
        <v>16508.636527145201</v>
      </c>
      <c r="AZ14">
        <f ca="1">(PriceStimulation!BE13)*(SUM(InventoryPurchasing!$E$2:$E$112)-SUM(SalesRevenueAuto!$E$2:$E$40))</f>
        <v>17500.56684112212</v>
      </c>
      <c r="BA14">
        <f ca="1">(PriceStimulation!BF13)*(SUM(InventoryPurchasing!$E$2:$E$112)-SUM(SalesRevenueAuto!$E$2:$E$40))</f>
        <v>15164.291656035792</v>
      </c>
      <c r="BB14">
        <f ca="1">(PriceStimulation!BG13)*(SUM(InventoryPurchasing!$E$2:$E$112)-SUM(SalesRevenueAuto!$E$2:$E$40))</f>
        <v>18425.033261636316</v>
      </c>
      <c r="BC14">
        <f ca="1">(PriceStimulation!BH13)*(SUM(InventoryPurchasing!$E$2:$E$112)-SUM(SalesRevenueAuto!$E$2:$E$40))</f>
        <v>16941.776239235496</v>
      </c>
      <c r="BD14">
        <f ca="1">(PriceStimulation!BI13)*(SUM(InventoryPurchasing!$E$2:$E$112)-SUM(SalesRevenueAuto!$E$2:$E$40))</f>
        <v>15311.623833828149</v>
      </c>
      <c r="BE14">
        <f ca="1">(PriceStimulation!BJ13)*(SUM(InventoryPurchasing!$E$2:$E$112)-SUM(SalesRevenueAuto!$E$2:$E$40))</f>
        <v>16428.298477550408</v>
      </c>
      <c r="BF14">
        <f ca="1">(PriceStimulation!BK13)*(SUM(InventoryPurchasing!$E$2:$E$112)-SUM(SalesRevenueAuto!$E$2:$E$40))</f>
        <v>18944.57130668169</v>
      </c>
      <c r="BG14">
        <f ca="1">(PriceStimulation!BL13)*(SUM(InventoryPurchasing!$E$2:$E$112)-SUM(SalesRevenueAuto!$E$2:$E$40))</f>
        <v>18384.038142128466</v>
      </c>
      <c r="BH14">
        <f ca="1">(PriceStimulation!BM13)*(SUM(InventoryPurchasing!$E$2:$E$112)-SUM(SalesRevenueAuto!$E$2:$E$40))</f>
        <v>18999.461482401464</v>
      </c>
      <c r="BI14">
        <f ca="1">(PriceStimulation!BN13)*(SUM(InventoryPurchasing!$E$2:$E$112)-SUM(SalesRevenueAuto!$E$2:$E$40))</f>
        <v>19353.650731411453</v>
      </c>
      <c r="BJ14">
        <f ca="1">(PriceStimulation!BO13)*(SUM(InventoryPurchasing!$E$2:$E$112)-SUM(SalesRevenueAuto!$E$2:$E$40))</f>
        <v>15595.126763800949</v>
      </c>
      <c r="BK14">
        <f ca="1">(PriceStimulation!BP13)*(SUM(InventoryPurchasing!$E$2:$E$112)-SUM(SalesRevenueAuto!$E$2:$E$40))</f>
        <v>15306.345771429098</v>
      </c>
      <c r="BL14">
        <f ca="1">(PriceStimulation!BQ13)*(SUM(InventoryPurchasing!$E$2:$E$112)-SUM(SalesRevenueAuto!$E$2:$E$40))</f>
        <v>15370.384057569434</v>
      </c>
      <c r="BM14">
        <f ca="1">(PriceStimulation!BR13)*(SUM(InventoryPurchasing!$E$2:$E$112)-SUM(SalesRevenueAuto!$E$2:$E$40))</f>
        <v>16686.769611195134</v>
      </c>
      <c r="BN14">
        <f ca="1">(PriceStimulation!BS13)*(SUM(InventoryPurchasing!$E$2:$E$112)-SUM(SalesRevenueAuto!$E$2:$E$40))</f>
        <v>20364.161366057502</v>
      </c>
      <c r="BO14">
        <f ca="1">(PriceStimulation!BT13)*(SUM(InventoryPurchasing!$E$2:$E$112)-SUM(SalesRevenueAuto!$E$2:$E$40))</f>
        <v>17095.785845168244</v>
      </c>
      <c r="BP14">
        <f ca="1">(PriceStimulation!BU13)*(SUM(InventoryPurchasing!$E$2:$E$112)-SUM(SalesRevenueAuto!$E$2:$E$40))</f>
        <v>15559.012614296103</v>
      </c>
      <c r="BQ14">
        <f ca="1">(PriceStimulation!BV13)*(SUM(InventoryPurchasing!$E$2:$E$112)-SUM(SalesRevenueAuto!$E$2:$E$40))</f>
        <v>17759.136591215516</v>
      </c>
      <c r="BR14">
        <f ca="1">(PriceStimulation!BW13)*(SUM(InventoryPurchasing!$E$2:$E$112)-SUM(SalesRevenueAuto!$E$2:$E$40))</f>
        <v>17775.402996631907</v>
      </c>
      <c r="BS14">
        <f ca="1">(PriceStimulation!BX13)*(SUM(InventoryPurchasing!$E$2:$E$112)-SUM(SalesRevenueAuto!$E$2:$E$40))</f>
        <v>13278.161287720333</v>
      </c>
      <c r="BT14">
        <f ca="1">(PriceStimulation!BY13)*(SUM(InventoryPurchasing!$E$2:$E$112)-SUM(SalesRevenueAuto!$E$2:$E$40))</f>
        <v>17750.945791883129</v>
      </c>
      <c r="BU14">
        <f ca="1">(PriceStimulation!BZ13)*(SUM(InventoryPurchasing!$E$2:$E$112)-SUM(SalesRevenueAuto!$E$2:$E$40))</f>
        <v>16362.647819799507</v>
      </c>
      <c r="BV14">
        <f ca="1">(PriceStimulation!CA13)*(SUM(InventoryPurchasing!$E$2:$E$112)-SUM(SalesRevenueAuto!$E$2:$E$40))</f>
        <v>19030.714285781691</v>
      </c>
      <c r="BW14">
        <f ca="1">(PriceStimulation!CB13)*(SUM(InventoryPurchasing!$E$2:$E$112)-SUM(SalesRevenueAuto!$E$2:$E$40))</f>
        <v>19678.749674767496</v>
      </c>
      <c r="BX14">
        <f ca="1">(PriceStimulation!CC13)*(SUM(InventoryPurchasing!$E$2:$E$112)-SUM(SalesRevenueAuto!$E$2:$E$40))</f>
        <v>17005.635518687417</v>
      </c>
      <c r="BY14">
        <f ca="1">(PriceStimulation!CD13)*(SUM(InventoryPurchasing!$E$2:$E$112)-SUM(SalesRevenueAuto!$E$2:$E$40))</f>
        <v>14984.833608207349</v>
      </c>
      <c r="BZ14">
        <f ca="1">(PriceStimulation!CE13)*(SUM(InventoryPurchasing!$E$2:$E$112)-SUM(SalesRevenueAuto!$E$2:$E$40))</f>
        <v>16771.935944357163</v>
      </c>
      <c r="CA14">
        <f ca="1">(PriceStimulation!CF13)*(SUM(InventoryPurchasing!$E$2:$E$112)-SUM(SalesRevenueAuto!$E$2:$E$40))</f>
        <v>16471.727685341</v>
      </c>
      <c r="CB14">
        <f ca="1">(PriceStimulation!CG13)*(SUM(InventoryPurchasing!$E$2:$E$112)-SUM(SalesRevenueAuto!$E$2:$E$40))</f>
        <v>18950.136358343756</v>
      </c>
      <c r="CC14">
        <f ca="1">(PriceStimulation!CH13)*(SUM(InventoryPurchasing!$E$2:$E$112)-SUM(SalesRevenueAuto!$E$2:$E$40))</f>
        <v>17491.327009569537</v>
      </c>
      <c r="CD14">
        <f ca="1">(PriceStimulation!CI13)*(SUM(InventoryPurchasing!$E$2:$E$112)-SUM(SalesRevenueAuto!$E$2:$E$40))</f>
        <v>16847.743319560803</v>
      </c>
      <c r="CE14">
        <f ca="1">(PriceStimulation!CJ13)*(SUM(InventoryPurchasing!$E$2:$E$112)-SUM(SalesRevenueAuto!$E$2:$E$40))</f>
        <v>15618.474015829508</v>
      </c>
      <c r="CF14">
        <f ca="1">(PriceStimulation!CK13)*(SUM(InventoryPurchasing!$E$2:$E$112)-SUM(SalesRevenueAuto!$E$2:$E$40))</f>
        <v>16192.763968899224</v>
      </c>
      <c r="CG14">
        <f ca="1">(PriceStimulation!CL13)*(SUM(InventoryPurchasing!$E$2:$E$112)-SUM(SalesRevenueAuto!$E$2:$E$40))</f>
        <v>16232.227010979337</v>
      </c>
      <c r="CH14">
        <f ca="1">(PriceStimulation!CM13)*(SUM(InventoryPurchasing!$E$2:$E$112)-SUM(SalesRevenueAuto!$E$2:$E$40))</f>
        <v>18350.934154533636</v>
      </c>
      <c r="CI14">
        <f ca="1">(PriceStimulation!CN13)*(SUM(InventoryPurchasing!$E$2:$E$112)-SUM(SalesRevenueAuto!$E$2:$E$40))</f>
        <v>17542.547303532177</v>
      </c>
      <c r="CJ14">
        <f ca="1">(PriceStimulation!CO13)*(SUM(InventoryPurchasing!$E$2:$E$112)-SUM(SalesRevenueAuto!$E$2:$E$40))</f>
        <v>15741.439332353486</v>
      </c>
      <c r="CK14">
        <f ca="1">(PriceStimulation!CP13)*(SUM(InventoryPurchasing!$E$2:$E$112)-SUM(SalesRevenueAuto!$E$2:$E$40))</f>
        <v>15349.721303068256</v>
      </c>
      <c r="CL14">
        <f ca="1">(PriceStimulation!CQ13)*(SUM(InventoryPurchasing!$E$2:$E$112)-SUM(SalesRevenueAuto!$E$2:$E$40))</f>
        <v>16804.489283465726</v>
      </c>
      <c r="CM14">
        <f ca="1">(PriceStimulation!CR13)*(SUM(InventoryPurchasing!$E$2:$E$112)-SUM(SalesRevenueAuto!$E$2:$E$40))</f>
        <v>15087.98942578493</v>
      </c>
      <c r="CN14">
        <f ca="1">(PriceStimulation!CS13)*(SUM(InventoryPurchasing!$E$2:$E$112)-SUM(SalesRevenueAuto!$E$2:$E$40))</f>
        <v>14059.732679519822</v>
      </c>
      <c r="CO14">
        <f ca="1">(PriceStimulation!CT13)*(SUM(InventoryPurchasing!$E$2:$E$112)-SUM(SalesRevenueAuto!$E$2:$E$40))</f>
        <v>19991.348117064248</v>
      </c>
      <c r="CP14">
        <f ca="1">(PriceStimulation!CU13)*(SUM(InventoryPurchasing!$E$2:$E$112)-SUM(SalesRevenueAuto!$E$2:$E$40))</f>
        <v>20260.15600481494</v>
      </c>
      <c r="CQ14">
        <f ca="1">(PriceStimulation!CV13)*(SUM(InventoryPurchasing!$E$2:$E$112)-SUM(SalesRevenueAuto!$E$2:$E$40))</f>
        <v>18163.415123716357</v>
      </c>
      <c r="CR14">
        <f ca="1">(PriceStimulation!CW13)*(SUM(InventoryPurchasing!$E$2:$E$112)-SUM(SalesRevenueAuto!$E$2:$E$40))</f>
        <v>18000.287933012823</v>
      </c>
      <c r="CS14">
        <f ca="1">(PriceStimulation!CX13)*(SUM(InventoryPurchasing!$E$2:$E$112)-SUM(SalesRevenueAuto!$E$2:$E$40))</f>
        <v>20579.08711853523</v>
      </c>
      <c r="CT14">
        <f ca="1">(PriceStimulation!CY13)*(SUM(InventoryPurchasing!$E$2:$E$112)-SUM(SalesRevenueAuto!$E$2:$E$40))</f>
        <v>14559.602908387255</v>
      </c>
      <c r="CU14">
        <f ca="1">(PriceStimulation!CZ13)*(SUM(InventoryPurchasing!$E$2:$E$112)-SUM(SalesRevenueAuto!$E$2:$E$40))</f>
        <v>17663.802969912424</v>
      </c>
      <c r="CV14">
        <f ca="1">(PriceStimulation!DA13)*(SUM(InventoryPurchasing!$E$2:$E$112)-SUM(SalesRevenueAuto!$E$2:$E$40))</f>
        <v>17617.20787925287</v>
      </c>
      <c r="CW14">
        <f ca="1">(PriceStimulation!DB13)*(SUM(InventoryPurchasing!$E$2:$E$112)-SUM(SalesRevenueAuto!$E$2:$E$40))</f>
        <v>21168.658081611014</v>
      </c>
      <c r="CX14">
        <f t="shared" ca="1" si="0"/>
        <v>17255.101593217696</v>
      </c>
      <c r="CY14">
        <f t="shared" ca="1" si="1"/>
        <v>15082.065986299205</v>
      </c>
      <c r="CZ14">
        <f t="shared" ca="1" si="2"/>
        <v>20270.556540939197</v>
      </c>
      <c r="DA14">
        <f t="shared" ca="1" si="3"/>
        <v>2173.0356069184909</v>
      </c>
      <c r="DB14" s="3">
        <f t="shared" ca="1" si="4"/>
        <v>0.12593583382740708</v>
      </c>
    </row>
    <row r="15" spans="1:106" x14ac:dyDescent="0.2">
      <c r="A15">
        <v>12</v>
      </c>
      <c r="B15">
        <f ca="1">(PriceStimulation!G14)*(SUM(InventoryPurchasing!$E$2:$E$112)-SUM(SalesRevenueAuto!$E$2:$E$40))</f>
        <v>18800.263104990772</v>
      </c>
      <c r="C15">
        <f ca="1">(PriceStimulation!H14)*(SUM(InventoryPurchasing!$E$2:$E$112)-SUM(SalesRevenueAuto!$E$2:$E$40))</f>
        <v>18844.503298529231</v>
      </c>
      <c r="D15">
        <f ca="1">(PriceStimulation!I14)*(SUM(InventoryPurchasing!$E$2:$E$112)-SUM(SalesRevenueAuto!$E$2:$E$40))</f>
        <v>16518.32925759393</v>
      </c>
      <c r="E15">
        <f ca="1">(PriceStimulation!J14)*(SUM(InventoryPurchasing!$E$2:$E$112)-SUM(SalesRevenueAuto!$E$2:$E$40))</f>
        <v>19577.232211809638</v>
      </c>
      <c r="F15">
        <f ca="1">(PriceStimulation!K14)*(SUM(InventoryPurchasing!$E$2:$E$112)-SUM(SalesRevenueAuto!$E$2:$E$40))</f>
        <v>16636.47444914185</v>
      </c>
      <c r="G15">
        <f ca="1">(PriceStimulation!L14)*(SUM(InventoryPurchasing!$E$2:$E$112)-SUM(SalesRevenueAuto!$E$2:$E$40))</f>
        <v>19456.44355927025</v>
      </c>
      <c r="H15">
        <f ca="1">(PriceStimulation!M14)*(SUM(InventoryPurchasing!$E$2:$E$112)-SUM(SalesRevenueAuto!$E$2:$E$40))</f>
        <v>16522.289493232471</v>
      </c>
      <c r="I15">
        <f ca="1">(PriceStimulation!N14)*(SUM(InventoryPurchasing!$E$2:$E$112)-SUM(SalesRevenueAuto!$E$2:$E$40))</f>
        <v>17758.537532580343</v>
      </c>
      <c r="J15">
        <f ca="1">(PriceStimulation!O14)*(SUM(InventoryPurchasing!$E$2:$E$112)-SUM(SalesRevenueAuto!$E$2:$E$40))</f>
        <v>18240.966901061565</v>
      </c>
      <c r="K15">
        <f ca="1">(PriceStimulation!P14)*(SUM(InventoryPurchasing!$E$2:$E$112)-SUM(SalesRevenueAuto!$E$2:$E$40))</f>
        <v>17285.886271754036</v>
      </c>
      <c r="L15">
        <f ca="1">(PriceStimulation!Q14)*(SUM(InventoryPurchasing!$E$2:$E$112)-SUM(SalesRevenueAuto!$E$2:$E$40))</f>
        <v>17660.256738889962</v>
      </c>
      <c r="M15">
        <f ca="1">(PriceStimulation!R14)*(SUM(InventoryPurchasing!$E$2:$E$112)-SUM(SalesRevenueAuto!$E$2:$E$40))</f>
        <v>19110.88193780194</v>
      </c>
      <c r="N15">
        <f ca="1">(PriceStimulation!S14)*(SUM(InventoryPurchasing!$E$2:$E$112)-SUM(SalesRevenueAuto!$E$2:$E$40))</f>
        <v>17142.858215441342</v>
      </c>
      <c r="O15">
        <f ca="1">(PriceStimulation!T14)*(SUM(InventoryPurchasing!$E$2:$E$112)-SUM(SalesRevenueAuto!$E$2:$E$40))</f>
        <v>16805.065683776949</v>
      </c>
      <c r="P15">
        <f ca="1">(PriceStimulation!U14)*(SUM(InventoryPurchasing!$E$2:$E$112)-SUM(SalesRevenueAuto!$E$2:$E$40))</f>
        <v>17156.729575433892</v>
      </c>
      <c r="Q15">
        <f ca="1">(PriceStimulation!V14)*(SUM(InventoryPurchasing!$E$2:$E$112)-SUM(SalesRevenueAuto!$E$2:$E$40))</f>
        <v>14769.707654325071</v>
      </c>
      <c r="R15">
        <f ca="1">(PriceStimulation!W14)*(SUM(InventoryPurchasing!$E$2:$E$112)-SUM(SalesRevenueAuto!$E$2:$E$40))</f>
        <v>17552.530621849386</v>
      </c>
      <c r="S15">
        <f ca="1">(PriceStimulation!X14)*(SUM(InventoryPurchasing!$E$2:$E$112)-SUM(SalesRevenueAuto!$E$2:$E$40))</f>
        <v>17897.208591513539</v>
      </c>
      <c r="T15">
        <f ca="1">(PriceStimulation!Y14)*(SUM(InventoryPurchasing!$E$2:$E$112)-SUM(SalesRevenueAuto!$E$2:$E$40))</f>
        <v>15066.458334130288</v>
      </c>
      <c r="U15">
        <f ca="1">(PriceStimulation!Z14)*(SUM(InventoryPurchasing!$E$2:$E$112)-SUM(SalesRevenueAuto!$E$2:$E$40))</f>
        <v>16368.691436637477</v>
      </c>
      <c r="V15">
        <f ca="1">(PriceStimulation!AA14)*(SUM(InventoryPurchasing!$E$2:$E$112)-SUM(SalesRevenueAuto!$E$2:$E$40))</f>
        <v>16529.006701517148</v>
      </c>
      <c r="W15">
        <f ca="1">(PriceStimulation!AB14)*(SUM(InventoryPurchasing!$E$2:$E$112)-SUM(SalesRevenueAuto!$E$2:$E$40))</f>
        <v>18514.216054082452</v>
      </c>
      <c r="X15">
        <f ca="1">(PriceStimulation!AC14)*(SUM(InventoryPurchasing!$E$2:$E$112)-SUM(SalesRevenueAuto!$E$2:$E$40))</f>
        <v>15235.070751012867</v>
      </c>
      <c r="Y15">
        <f ca="1">(PriceStimulation!AD14)*(SUM(InventoryPurchasing!$E$2:$E$112)-SUM(SalesRevenueAuto!$E$2:$E$40))</f>
        <v>19819.449425079056</v>
      </c>
      <c r="Z15">
        <f ca="1">(PriceStimulation!AE14)*(SUM(InventoryPurchasing!$E$2:$E$112)-SUM(SalesRevenueAuto!$E$2:$E$40))</f>
        <v>17147.891237313226</v>
      </c>
      <c r="AA15">
        <f ca="1">(PriceStimulation!AF14)*(SUM(InventoryPurchasing!$E$2:$E$112)-SUM(SalesRevenueAuto!$E$2:$E$40))</f>
        <v>17973.289081569597</v>
      </c>
      <c r="AB15">
        <f ca="1">(PriceStimulation!AG14)*(SUM(InventoryPurchasing!$E$2:$E$112)-SUM(SalesRevenueAuto!$E$2:$E$40))</f>
        <v>16316.182731391935</v>
      </c>
      <c r="AC15">
        <f ca="1">(PriceStimulation!AH14)*(SUM(InventoryPurchasing!$E$2:$E$112)-SUM(SalesRevenueAuto!$E$2:$E$40))</f>
        <v>15831.354560082254</v>
      </c>
      <c r="AD15">
        <f ca="1">(PriceStimulation!AI14)*(SUM(InventoryPurchasing!$E$2:$E$112)-SUM(SalesRevenueAuto!$E$2:$E$40))</f>
        <v>17991.372335464173</v>
      </c>
      <c r="AE15">
        <f ca="1">(PriceStimulation!AJ14)*(SUM(InventoryPurchasing!$E$2:$E$112)-SUM(SalesRevenueAuto!$E$2:$E$40))</f>
        <v>15719.285535091105</v>
      </c>
      <c r="AF15">
        <f ca="1">(PriceStimulation!AK14)*(SUM(InventoryPurchasing!$E$2:$E$112)-SUM(SalesRevenueAuto!$E$2:$E$40))</f>
        <v>18309.617559925257</v>
      </c>
      <c r="AG15">
        <f ca="1">(PriceStimulation!AL14)*(SUM(InventoryPurchasing!$E$2:$E$112)-SUM(SalesRevenueAuto!$E$2:$E$40))</f>
        <v>16339.33903320201</v>
      </c>
      <c r="AH15">
        <f ca="1">(PriceStimulation!AM14)*(SUM(InventoryPurchasing!$E$2:$E$112)-SUM(SalesRevenueAuto!$E$2:$E$40))</f>
        <v>22645.772413210936</v>
      </c>
      <c r="AI15">
        <f ca="1">(PriceStimulation!AN14)*(SUM(InventoryPurchasing!$E$2:$E$112)-SUM(SalesRevenueAuto!$E$2:$E$40))</f>
        <v>19120.086369118075</v>
      </c>
      <c r="AJ15">
        <f ca="1">(PriceStimulation!AO14)*(SUM(InventoryPurchasing!$E$2:$E$112)-SUM(SalesRevenueAuto!$E$2:$E$40))</f>
        <v>18106.693491371068</v>
      </c>
      <c r="AK15">
        <f ca="1">(PriceStimulation!AP14)*(SUM(InventoryPurchasing!$E$2:$E$112)-SUM(SalesRevenueAuto!$E$2:$E$40))</f>
        <v>22351.374484983087</v>
      </c>
      <c r="AL15">
        <f ca="1">(PriceStimulation!AQ14)*(SUM(InventoryPurchasing!$E$2:$E$112)-SUM(SalesRevenueAuto!$E$2:$E$40))</f>
        <v>16466.66698777644</v>
      </c>
      <c r="AM15">
        <f ca="1">(PriceStimulation!AR14)*(SUM(InventoryPurchasing!$E$2:$E$112)-SUM(SalesRevenueAuto!$E$2:$E$40))</f>
        <v>18767.740860836522</v>
      </c>
      <c r="AN15">
        <f ca="1">(PriceStimulation!AS14)*(SUM(InventoryPurchasing!$E$2:$E$112)-SUM(SalesRevenueAuto!$E$2:$E$40))</f>
        <v>15621.924081904039</v>
      </c>
      <c r="AO15">
        <f ca="1">(PriceStimulation!AT14)*(SUM(InventoryPurchasing!$E$2:$E$112)-SUM(SalesRevenueAuto!$E$2:$E$40))</f>
        <v>15139.687060814147</v>
      </c>
      <c r="AP15">
        <f ca="1">(PriceStimulation!AU14)*(SUM(InventoryPurchasing!$E$2:$E$112)-SUM(SalesRevenueAuto!$E$2:$E$40))</f>
        <v>19026.296678460374</v>
      </c>
      <c r="AQ15">
        <f ca="1">(PriceStimulation!AV14)*(SUM(InventoryPurchasing!$E$2:$E$112)-SUM(SalesRevenueAuto!$E$2:$E$40))</f>
        <v>15027.279820994614</v>
      </c>
      <c r="AR15">
        <f ca="1">(PriceStimulation!AW14)*(SUM(InventoryPurchasing!$E$2:$E$112)-SUM(SalesRevenueAuto!$E$2:$E$40))</f>
        <v>17078.610874966638</v>
      </c>
      <c r="AS15">
        <f ca="1">(PriceStimulation!AX14)*(SUM(InventoryPurchasing!$E$2:$E$112)-SUM(SalesRevenueAuto!$E$2:$E$40))</f>
        <v>19092.01201895297</v>
      </c>
      <c r="AT15">
        <f ca="1">(PriceStimulation!AY14)*(SUM(InventoryPurchasing!$E$2:$E$112)-SUM(SalesRevenueAuto!$E$2:$E$40))</f>
        <v>15940.789224573506</v>
      </c>
      <c r="AU15">
        <f ca="1">(PriceStimulation!AZ14)*(SUM(InventoryPurchasing!$E$2:$E$112)-SUM(SalesRevenueAuto!$E$2:$E$40))</f>
        <v>15676.20590786275</v>
      </c>
      <c r="AV15">
        <f ca="1">(PriceStimulation!BA14)*(SUM(InventoryPurchasing!$E$2:$E$112)-SUM(SalesRevenueAuto!$E$2:$E$40))</f>
        <v>18865.355304152316</v>
      </c>
      <c r="AW15">
        <f ca="1">(PriceStimulation!BB14)*(SUM(InventoryPurchasing!$E$2:$E$112)-SUM(SalesRevenueAuto!$E$2:$E$40))</f>
        <v>16535.302469121718</v>
      </c>
      <c r="AX15">
        <f ca="1">(PriceStimulation!BC14)*(SUM(InventoryPurchasing!$E$2:$E$112)-SUM(SalesRevenueAuto!$E$2:$E$40))</f>
        <v>19002.245381073095</v>
      </c>
      <c r="AY15">
        <f ca="1">(PriceStimulation!BD14)*(SUM(InventoryPurchasing!$E$2:$E$112)-SUM(SalesRevenueAuto!$E$2:$E$40))</f>
        <v>16997.767245372579</v>
      </c>
      <c r="AZ15">
        <f ca="1">(PriceStimulation!BE14)*(SUM(InventoryPurchasing!$E$2:$E$112)-SUM(SalesRevenueAuto!$E$2:$E$40))</f>
        <v>17973.122563636993</v>
      </c>
      <c r="BA15">
        <f ca="1">(PriceStimulation!BF14)*(SUM(InventoryPurchasing!$E$2:$E$112)-SUM(SalesRevenueAuto!$E$2:$E$40))</f>
        <v>15811.971227774893</v>
      </c>
      <c r="BB15">
        <f ca="1">(PriceStimulation!BG14)*(SUM(InventoryPurchasing!$E$2:$E$112)-SUM(SalesRevenueAuto!$E$2:$E$40))</f>
        <v>19649.772458065876</v>
      </c>
      <c r="BC15">
        <f ca="1">(PriceStimulation!BH14)*(SUM(InventoryPurchasing!$E$2:$E$112)-SUM(SalesRevenueAuto!$E$2:$E$40))</f>
        <v>17458.93173266068</v>
      </c>
      <c r="BD15">
        <f ca="1">(PriceStimulation!BI14)*(SUM(InventoryPurchasing!$E$2:$E$112)-SUM(SalesRevenueAuto!$E$2:$E$40))</f>
        <v>15020.99458217183</v>
      </c>
      <c r="BE15">
        <f ca="1">(PriceStimulation!BJ14)*(SUM(InventoryPurchasing!$E$2:$E$112)-SUM(SalesRevenueAuto!$E$2:$E$40))</f>
        <v>16806.142556601182</v>
      </c>
      <c r="BF15">
        <f ca="1">(PriceStimulation!BK14)*(SUM(InventoryPurchasing!$E$2:$E$112)-SUM(SalesRevenueAuto!$E$2:$E$40))</f>
        <v>19404.587986872193</v>
      </c>
      <c r="BG15">
        <f ca="1">(PriceStimulation!BL14)*(SUM(InventoryPurchasing!$E$2:$E$112)-SUM(SalesRevenueAuto!$E$2:$E$40))</f>
        <v>19384.272570410074</v>
      </c>
      <c r="BH15">
        <f ca="1">(PriceStimulation!BM14)*(SUM(InventoryPurchasing!$E$2:$E$112)-SUM(SalesRevenueAuto!$E$2:$E$40))</f>
        <v>18356.330980293904</v>
      </c>
      <c r="BI15">
        <f ca="1">(PriceStimulation!BN14)*(SUM(InventoryPurchasing!$E$2:$E$112)-SUM(SalesRevenueAuto!$E$2:$E$40))</f>
        <v>19725.047158602982</v>
      </c>
      <c r="BJ15">
        <f ca="1">(PriceStimulation!BO14)*(SUM(InventoryPurchasing!$E$2:$E$112)-SUM(SalesRevenueAuto!$E$2:$E$40))</f>
        <v>15640.07797214494</v>
      </c>
      <c r="BK15">
        <f ca="1">(PriceStimulation!BP14)*(SUM(InventoryPurchasing!$E$2:$E$112)-SUM(SalesRevenueAuto!$E$2:$E$40))</f>
        <v>15722.159082206037</v>
      </c>
      <c r="BL15">
        <f ca="1">(PriceStimulation!BQ14)*(SUM(InventoryPurchasing!$E$2:$E$112)-SUM(SalesRevenueAuto!$E$2:$E$40))</f>
        <v>15856.764783879267</v>
      </c>
      <c r="BM15">
        <f ca="1">(PriceStimulation!BR14)*(SUM(InventoryPurchasing!$E$2:$E$112)-SUM(SalesRevenueAuto!$E$2:$E$40))</f>
        <v>16152.764255976412</v>
      </c>
      <c r="BN15">
        <f ca="1">(PriceStimulation!BS14)*(SUM(InventoryPurchasing!$E$2:$E$112)-SUM(SalesRevenueAuto!$E$2:$E$40))</f>
        <v>19486.434646450594</v>
      </c>
      <c r="BO15">
        <f ca="1">(PriceStimulation!BT14)*(SUM(InventoryPurchasing!$E$2:$E$112)-SUM(SalesRevenueAuto!$E$2:$E$40))</f>
        <v>17129.927277474006</v>
      </c>
      <c r="BP15">
        <f ca="1">(PriceStimulation!BU14)*(SUM(InventoryPurchasing!$E$2:$E$112)-SUM(SalesRevenueAuto!$E$2:$E$40))</f>
        <v>15846.273882327112</v>
      </c>
      <c r="BQ15">
        <f ca="1">(PriceStimulation!BV14)*(SUM(InventoryPurchasing!$E$2:$E$112)-SUM(SalesRevenueAuto!$E$2:$E$40))</f>
        <v>18626.998263997546</v>
      </c>
      <c r="BR15">
        <f ca="1">(PriceStimulation!BW14)*(SUM(InventoryPurchasing!$E$2:$E$112)-SUM(SalesRevenueAuto!$E$2:$E$40))</f>
        <v>18531.988764677892</v>
      </c>
      <c r="BS15">
        <f ca="1">(PriceStimulation!BX14)*(SUM(InventoryPurchasing!$E$2:$E$112)-SUM(SalesRevenueAuto!$E$2:$E$40))</f>
        <v>13899.603123888081</v>
      </c>
      <c r="BT15">
        <f ca="1">(PriceStimulation!BY14)*(SUM(InventoryPurchasing!$E$2:$E$112)-SUM(SalesRevenueAuto!$E$2:$E$40))</f>
        <v>17052.67502521582</v>
      </c>
      <c r="BU15">
        <f ca="1">(PriceStimulation!BZ14)*(SUM(InventoryPurchasing!$E$2:$E$112)-SUM(SalesRevenueAuto!$E$2:$E$40))</f>
        <v>16766.984801090242</v>
      </c>
      <c r="BV15">
        <f ca="1">(PriceStimulation!CA14)*(SUM(InventoryPurchasing!$E$2:$E$112)-SUM(SalesRevenueAuto!$E$2:$E$40))</f>
        <v>19109.037697859181</v>
      </c>
      <c r="BW15">
        <f ca="1">(PriceStimulation!CB14)*(SUM(InventoryPurchasing!$E$2:$E$112)-SUM(SalesRevenueAuto!$E$2:$E$40))</f>
        <v>20085.733783632182</v>
      </c>
      <c r="BX15">
        <f ca="1">(PriceStimulation!CC14)*(SUM(InventoryPurchasing!$E$2:$E$112)-SUM(SalesRevenueAuto!$E$2:$E$40))</f>
        <v>17375.324217208719</v>
      </c>
      <c r="BY15">
        <f ca="1">(PriceStimulation!CD14)*(SUM(InventoryPurchasing!$E$2:$E$112)-SUM(SalesRevenueAuto!$E$2:$E$40))</f>
        <v>14595.234497595999</v>
      </c>
      <c r="BZ15">
        <f ca="1">(PriceStimulation!CE14)*(SUM(InventoryPurchasing!$E$2:$E$112)-SUM(SalesRevenueAuto!$E$2:$E$40))</f>
        <v>17171.811878424392</v>
      </c>
      <c r="CA15">
        <f ca="1">(PriceStimulation!CF14)*(SUM(InventoryPurchasing!$E$2:$E$112)-SUM(SalesRevenueAuto!$E$2:$E$40))</f>
        <v>17124.236403771585</v>
      </c>
      <c r="CB15">
        <f ca="1">(PriceStimulation!CG14)*(SUM(InventoryPurchasing!$E$2:$E$112)-SUM(SalesRevenueAuto!$E$2:$E$40))</f>
        <v>19265.892907328333</v>
      </c>
      <c r="CC15">
        <f ca="1">(PriceStimulation!CH14)*(SUM(InventoryPurchasing!$E$2:$E$112)-SUM(SalesRevenueAuto!$E$2:$E$40))</f>
        <v>17717.118002534393</v>
      </c>
      <c r="CD15">
        <f ca="1">(PriceStimulation!CI14)*(SUM(InventoryPurchasing!$E$2:$E$112)-SUM(SalesRevenueAuto!$E$2:$E$40))</f>
        <v>17390.42055848382</v>
      </c>
      <c r="CE15">
        <f ca="1">(PriceStimulation!CJ14)*(SUM(InventoryPurchasing!$E$2:$E$112)-SUM(SalesRevenueAuto!$E$2:$E$40))</f>
        <v>15363.128308525718</v>
      </c>
      <c r="CF15">
        <f ca="1">(PriceStimulation!CK14)*(SUM(InventoryPurchasing!$E$2:$E$112)-SUM(SalesRevenueAuto!$E$2:$E$40))</f>
        <v>16454.280173376261</v>
      </c>
      <c r="CG15">
        <f ca="1">(PriceStimulation!CL14)*(SUM(InventoryPurchasing!$E$2:$E$112)-SUM(SalesRevenueAuto!$E$2:$E$40))</f>
        <v>16540.810952333952</v>
      </c>
      <c r="CH15">
        <f ca="1">(PriceStimulation!CM14)*(SUM(InventoryPurchasing!$E$2:$E$112)-SUM(SalesRevenueAuto!$E$2:$E$40))</f>
        <v>18731.128860500961</v>
      </c>
      <c r="CI15">
        <f ca="1">(PriceStimulation!CN14)*(SUM(InventoryPurchasing!$E$2:$E$112)-SUM(SalesRevenueAuto!$E$2:$E$40))</f>
        <v>18119.585459371636</v>
      </c>
      <c r="CJ15">
        <f ca="1">(PriceStimulation!CO14)*(SUM(InventoryPurchasing!$E$2:$E$112)-SUM(SalesRevenueAuto!$E$2:$E$40))</f>
        <v>16915.336881199215</v>
      </c>
      <c r="CK15">
        <f ca="1">(PriceStimulation!CP14)*(SUM(InventoryPurchasing!$E$2:$E$112)-SUM(SalesRevenueAuto!$E$2:$E$40))</f>
        <v>15817.060044517391</v>
      </c>
      <c r="CL15">
        <f ca="1">(PriceStimulation!CQ14)*(SUM(InventoryPurchasing!$E$2:$E$112)-SUM(SalesRevenueAuto!$E$2:$E$40))</f>
        <v>16691.718884267601</v>
      </c>
      <c r="CM15">
        <f ca="1">(PriceStimulation!CR14)*(SUM(InventoryPurchasing!$E$2:$E$112)-SUM(SalesRevenueAuto!$E$2:$E$40))</f>
        <v>15158.292781465665</v>
      </c>
      <c r="CN15">
        <f ca="1">(PriceStimulation!CS14)*(SUM(InventoryPurchasing!$E$2:$E$112)-SUM(SalesRevenueAuto!$E$2:$E$40))</f>
        <v>14224.665928540637</v>
      </c>
      <c r="CO15">
        <f ca="1">(PriceStimulation!CT14)*(SUM(InventoryPurchasing!$E$2:$E$112)-SUM(SalesRevenueAuto!$E$2:$E$40))</f>
        <v>20648.680328198025</v>
      </c>
      <c r="CP15">
        <f ca="1">(PriceStimulation!CU14)*(SUM(InventoryPurchasing!$E$2:$E$112)-SUM(SalesRevenueAuto!$E$2:$E$40))</f>
        <v>20556.838011997817</v>
      </c>
      <c r="CQ15">
        <f ca="1">(PriceStimulation!CV14)*(SUM(InventoryPurchasing!$E$2:$E$112)-SUM(SalesRevenueAuto!$E$2:$E$40))</f>
        <v>18220.307986841282</v>
      </c>
      <c r="CR15">
        <f ca="1">(PriceStimulation!CW14)*(SUM(InventoryPurchasing!$E$2:$E$112)-SUM(SalesRevenueAuto!$E$2:$E$40))</f>
        <v>18121.290749672728</v>
      </c>
      <c r="CS15">
        <f ca="1">(PriceStimulation!CX14)*(SUM(InventoryPurchasing!$E$2:$E$112)-SUM(SalesRevenueAuto!$E$2:$E$40))</f>
        <v>21819.880362022825</v>
      </c>
      <c r="CT15">
        <f ca="1">(PriceStimulation!CY14)*(SUM(InventoryPurchasing!$E$2:$E$112)-SUM(SalesRevenueAuto!$E$2:$E$40))</f>
        <v>14839.890661389119</v>
      </c>
      <c r="CU15">
        <f ca="1">(PriceStimulation!CZ14)*(SUM(InventoryPurchasing!$E$2:$E$112)-SUM(SalesRevenueAuto!$E$2:$E$40))</f>
        <v>18334.132637403934</v>
      </c>
      <c r="CV15">
        <f ca="1">(PriceStimulation!DA14)*(SUM(InventoryPurchasing!$E$2:$E$112)-SUM(SalesRevenueAuto!$E$2:$E$40))</f>
        <v>17745.7761010299</v>
      </c>
      <c r="CW15">
        <f ca="1">(PriceStimulation!DB14)*(SUM(InventoryPurchasing!$E$2:$E$112)-SUM(SalesRevenueAuto!$E$2:$E$40))</f>
        <v>21487.36427618243</v>
      </c>
      <c r="CX15">
        <f t="shared" ca="1" si="0"/>
        <v>17522.880055831345</v>
      </c>
      <c r="CY15">
        <f t="shared" ca="1" si="1"/>
        <v>15011.939386132695</v>
      </c>
      <c r="CZ15">
        <f t="shared" ca="1" si="2"/>
        <v>20566.022243617837</v>
      </c>
      <c r="DA15">
        <f t="shared" ca="1" si="3"/>
        <v>2510.9406696986498</v>
      </c>
      <c r="DB15" s="3">
        <f t="shared" ca="1" si="4"/>
        <v>0.14329497558040108</v>
      </c>
    </row>
    <row r="17" spans="2:5" x14ac:dyDescent="0.2">
      <c r="B17" t="s">
        <v>347</v>
      </c>
      <c r="E17">
        <f ca="1">AVERAGE(B3:CW15)</f>
        <v>16059.192597676401</v>
      </c>
    </row>
    <row r="18" spans="2:5" x14ac:dyDescent="0.2">
      <c r="B18" t="s">
        <v>349</v>
      </c>
      <c r="E18">
        <f ca="1">_xlfn.PERCENTILE.INC(B3:CW15,0.05)</f>
        <v>14337.856406811357</v>
      </c>
    </row>
    <row r="19" spans="2:5" x14ac:dyDescent="0.2">
      <c r="B19" t="s">
        <v>350</v>
      </c>
      <c r="E19">
        <f ca="1">_xlfn.PERCENTILE.INC(B3:CW15, 0.95)</f>
        <v>18888.849389826544</v>
      </c>
    </row>
  </sheetData>
  <phoneticPr fontId="10"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InventoryPurchasing</vt:lpstr>
      <vt:lpstr>SalesRevenueAuto</vt:lpstr>
      <vt:lpstr>Summary Dashboard</vt:lpstr>
      <vt:lpstr>Pricing Model</vt:lpstr>
      <vt:lpstr>PastPrices</vt:lpstr>
      <vt:lpstr>PriceStimulation</vt:lpstr>
      <vt:lpstr>PricingStrategy</vt:lpstr>
      <vt:lpstr>Forecasting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Jain, Tetiksha</dc:creator>
  <cp:lastModifiedBy>Jain, Tetiksha</cp:lastModifiedBy>
  <dcterms:created xsi:type="dcterms:W3CDTF">2025-07-29T15:53:31Z</dcterms:created>
  <dcterms:modified xsi:type="dcterms:W3CDTF">2025-08-04T05:09:03Z</dcterms:modified>
</cp:coreProperties>
</file>